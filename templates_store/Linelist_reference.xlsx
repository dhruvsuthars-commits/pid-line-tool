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RES1\Downloads\New folder\"/>
    </mc:Choice>
  </mc:AlternateContent>
  <xr:revisionPtr revIDLastSave="0" documentId="13_ncr:1_{3153FB21-FED8-4624-88E8-6D810D8CB5E7}" xr6:coauthVersionLast="47" xr6:coauthVersionMax="47" xr10:uidLastSave="{00000000-0000-0000-0000-000000000000}"/>
  <bookViews>
    <workbookView xWindow="-108" yWindow="-108" windowWidth="23256" windowHeight="12456" tabRatio="577" firstSheet="3" activeTab="5" xr2:uid="{00000000-000D-0000-FFFF-FFFF00000000}"/>
  </bookViews>
  <sheets>
    <sheet name="Cover sheet" sheetId="1" state="hidden" r:id="rId1"/>
    <sheet name="Front page" sheetId="2" state="hidden" r:id="rId2"/>
    <sheet name="NF-2200-PID-01" sheetId="3" state="hidden" r:id="rId3"/>
    <sheet name="page 1" sheetId="4" r:id="rId4"/>
    <sheet name="PID-0101" sheetId="5" state="hidden" r:id="rId5"/>
    <sheet name="PID-0101 (2)" sheetId="6" r:id="rId6"/>
    <sheet name="1003" sheetId="7" state="hidden" r:id="rId7"/>
    <sheet name="Sheet4" sheetId="8" state="hidden" r:id="rId8"/>
  </sheets>
  <externalReferences>
    <externalReference r:id="rId9"/>
    <externalReference r:id="rId10"/>
    <externalReference r:id="rId11"/>
    <externalReference r:id="rId12"/>
    <externalReference r:id="rId13"/>
    <externalReference r:id="rId14"/>
  </externalReferences>
  <definedNames>
    <definedName name="\p">#N/A</definedName>
    <definedName name="_1" localSheetId="2">'NF-2200-PID-01'!#REF!</definedName>
    <definedName name="_1" localSheetId="4">'PID-0101'!#REF!</definedName>
    <definedName name="_1" localSheetId="5">'PID-0101 (2)'!#REF!</definedName>
    <definedName name="_1">#REF!</definedName>
    <definedName name="_2" localSheetId="2">'NF-2200-PID-01'!#REF!</definedName>
    <definedName name="_2" localSheetId="4">'PID-0101'!#REF!</definedName>
    <definedName name="_2" localSheetId="5">'PID-0101 (2)'!#REF!</definedName>
    <definedName name="_2">#REF!</definedName>
    <definedName name="_222" localSheetId="2">'NF-2200-PID-01'!#REF!</definedName>
    <definedName name="_222" localSheetId="4">'PID-0101'!#REF!</definedName>
    <definedName name="_222" localSheetId="5">'PID-0101 (2)'!#REF!</definedName>
    <definedName name="_222">#REF!</definedName>
    <definedName name="_a5" localSheetId="2">[1]!Module1.UNITOK</definedName>
    <definedName name="_a5" localSheetId="3">#REF!</definedName>
    <definedName name="_a5" localSheetId="4">[1]!Module1.UNITOK</definedName>
    <definedName name="_a5" localSheetId="5">[1]!Module1.UNITOK</definedName>
    <definedName name="_a5">[1]!Module1.UNITOK</definedName>
    <definedName name="_a6" localSheetId="2">[2]!UNITOK</definedName>
    <definedName name="_a6" localSheetId="3">#REF!</definedName>
    <definedName name="_a6" localSheetId="4">[2]!UNITOK</definedName>
    <definedName name="_a6" localSheetId="5">[2]!UNITOK</definedName>
    <definedName name="_a6">[2]!UNITOK</definedName>
    <definedName name="_BTM150" localSheetId="2">'NF-2200-PID-01'!#REF!</definedName>
    <definedName name="_BTM150" localSheetId="4">'PID-0101'!#REF!</definedName>
    <definedName name="_BTM150" localSheetId="5">'PID-0101 (2)'!#REF!</definedName>
    <definedName name="_BTM150">#REF!</definedName>
    <definedName name="_BTM200" localSheetId="2">'NF-2200-PID-01'!#REF!</definedName>
    <definedName name="_BTM200" localSheetId="4">'PID-0101'!#REF!</definedName>
    <definedName name="_BTM200" localSheetId="5">'PID-0101 (2)'!#REF!</definedName>
    <definedName name="_BTM200">#REF!</definedName>
    <definedName name="_BTM50" localSheetId="2">'NF-2200-PID-01'!#REF!</definedName>
    <definedName name="_BTM50" localSheetId="4">'PID-0101'!#REF!</definedName>
    <definedName name="_BTM50" localSheetId="5">'PID-0101 (2)'!#REF!</definedName>
    <definedName name="_BTM50">#REF!</definedName>
    <definedName name="_CON1" localSheetId="2">'NF-2200-PID-01'!#REF!</definedName>
    <definedName name="_CON1" localSheetId="4">'PID-0101'!#REF!</definedName>
    <definedName name="_CON1" localSheetId="5">'PID-0101 (2)'!#REF!</definedName>
    <definedName name="_CON1">#REF!</definedName>
    <definedName name="_CON2" localSheetId="2">'NF-2200-PID-01'!#REF!</definedName>
    <definedName name="_CON2" localSheetId="4">'PID-0101'!#REF!</definedName>
    <definedName name="_CON2" localSheetId="5">'PID-0101 (2)'!#REF!</definedName>
    <definedName name="_CON2">#REF!</definedName>
    <definedName name="_EXC1" localSheetId="2">'NF-2200-PID-01'!#REF!</definedName>
    <definedName name="_EXC1" localSheetId="4">'PID-0101'!#REF!</definedName>
    <definedName name="_EXC1" localSheetId="5">'PID-0101 (2)'!#REF!</definedName>
    <definedName name="_EXC1">#REF!</definedName>
    <definedName name="_EXC2" localSheetId="2">'NF-2200-PID-01'!#REF!</definedName>
    <definedName name="_EXC2" localSheetId="4">'PID-0101'!#REF!</definedName>
    <definedName name="_EXC2" localSheetId="5">'PID-0101 (2)'!#REF!</definedName>
    <definedName name="_EXC2">#REF!</definedName>
    <definedName name="_Fill" localSheetId="2" hidden="1">'NF-2200-PID-01'!#REF!</definedName>
    <definedName name="_Fill" localSheetId="4" hidden="1">'PID-0101'!#REF!</definedName>
    <definedName name="_Fill" localSheetId="5" hidden="1">'PID-0101 (2)'!#REF!</definedName>
    <definedName name="_Fill" hidden="1">#REF!</definedName>
    <definedName name="_xlnm._FilterDatabase" localSheetId="2" hidden="1">'NF-2200-PID-01'!$A$3:$DA$28</definedName>
    <definedName name="_xlnm._FilterDatabase" localSheetId="4" hidden="1">'PID-0101'!$A$6:$DJ$59</definedName>
    <definedName name="_xlnm._FilterDatabase" localSheetId="5" hidden="1">'PID-0101 (2)'!$A$6:$X$702</definedName>
    <definedName name="_hom2" localSheetId="2">'NF-2200-PID-01'!#REF!</definedName>
    <definedName name="_hom2" localSheetId="4">'PID-0101'!#REF!</definedName>
    <definedName name="_hom2" localSheetId="5">'PID-0101 (2)'!#REF!</definedName>
    <definedName name="_hom2">#REF!</definedName>
    <definedName name="_msl100" localSheetId="2">'NF-2200-PID-01'!#REF!</definedName>
    <definedName name="_msl100" localSheetId="4">'PID-0101'!#REF!</definedName>
    <definedName name="_msl100" localSheetId="5">'PID-0101 (2)'!#REF!</definedName>
    <definedName name="_msl100">#REF!</definedName>
    <definedName name="_msl200" localSheetId="2">'NF-2200-PID-01'!#REF!</definedName>
    <definedName name="_msl200" localSheetId="4">'PID-0101'!#REF!</definedName>
    <definedName name="_msl200" localSheetId="5">'PID-0101 (2)'!#REF!</definedName>
    <definedName name="_msl200">#REF!</definedName>
    <definedName name="_msl250" localSheetId="2">'NF-2200-PID-01'!#REF!</definedName>
    <definedName name="_msl250" localSheetId="4">'PID-0101'!#REF!</definedName>
    <definedName name="_msl250" localSheetId="5">'PID-0101 (2)'!#REF!</definedName>
    <definedName name="_msl250">#REF!</definedName>
    <definedName name="_msl300" localSheetId="2">'NF-2200-PID-01'!#REF!</definedName>
    <definedName name="_msl300" localSheetId="4">'PID-0101'!#REF!</definedName>
    <definedName name="_msl300" localSheetId="5">'PID-0101 (2)'!#REF!</definedName>
    <definedName name="_msl300">#REF!</definedName>
    <definedName name="_msl400" localSheetId="2">'NF-2200-PID-01'!#REF!</definedName>
    <definedName name="_msl400" localSheetId="4">'PID-0101'!#REF!</definedName>
    <definedName name="_msl400" localSheetId="5">'PID-0101 (2)'!#REF!</definedName>
    <definedName name="_msl400">#REF!</definedName>
    <definedName name="_msl800" localSheetId="2">'NF-2200-PID-01'!#REF!</definedName>
    <definedName name="_msl800" localSheetId="4">'PID-0101'!#REF!</definedName>
    <definedName name="_msl800" localSheetId="5">'PID-0101 (2)'!#REF!</definedName>
    <definedName name="_msl800">#REF!</definedName>
    <definedName name="_mui100" localSheetId="2">'NF-2200-PID-01'!#REF!</definedName>
    <definedName name="_mui100" localSheetId="4">'PID-0101'!#REF!</definedName>
    <definedName name="_mui100" localSheetId="5">'PID-0101 (2)'!#REF!</definedName>
    <definedName name="_mui100">#REF!</definedName>
    <definedName name="_mui105" localSheetId="2">'NF-2200-PID-01'!#REF!</definedName>
    <definedName name="_mui105" localSheetId="4">'PID-0101'!#REF!</definedName>
    <definedName name="_mui105" localSheetId="5">'PID-0101 (2)'!#REF!</definedName>
    <definedName name="_mui105">#REF!</definedName>
    <definedName name="_mui108" localSheetId="2">'NF-2200-PID-01'!#REF!</definedName>
    <definedName name="_mui108" localSheetId="4">'PID-0101'!#REF!</definedName>
    <definedName name="_mui108" localSheetId="5">'PID-0101 (2)'!#REF!</definedName>
    <definedName name="_mui108">#REF!</definedName>
    <definedName name="_mui130" localSheetId="2">'NF-2200-PID-01'!#REF!</definedName>
    <definedName name="_mui130" localSheetId="4">'PID-0101'!#REF!</definedName>
    <definedName name="_mui130" localSheetId="5">'PID-0101 (2)'!#REF!</definedName>
    <definedName name="_mui130">#REF!</definedName>
    <definedName name="_mui140" localSheetId="2">'NF-2200-PID-01'!#REF!</definedName>
    <definedName name="_mui140" localSheetId="4">'PID-0101'!#REF!</definedName>
    <definedName name="_mui140" localSheetId="5">'PID-0101 (2)'!#REF!</definedName>
    <definedName name="_mui140">#REF!</definedName>
    <definedName name="_mui160" localSheetId="2">'NF-2200-PID-01'!#REF!</definedName>
    <definedName name="_mui160" localSheetId="4">'PID-0101'!#REF!</definedName>
    <definedName name="_mui160" localSheetId="5">'PID-0101 (2)'!#REF!</definedName>
    <definedName name="_mui160">#REF!</definedName>
    <definedName name="_mui180" localSheetId="2">'NF-2200-PID-01'!#REF!</definedName>
    <definedName name="_mui180" localSheetId="4">'PID-0101'!#REF!</definedName>
    <definedName name="_mui180" localSheetId="5">'PID-0101 (2)'!#REF!</definedName>
    <definedName name="_mui180">#REF!</definedName>
    <definedName name="_mui250" localSheetId="2">'NF-2200-PID-01'!#REF!</definedName>
    <definedName name="_mui250" localSheetId="4">'PID-0101'!#REF!</definedName>
    <definedName name="_mui250" localSheetId="5">'PID-0101 (2)'!#REF!</definedName>
    <definedName name="_mui250">#REF!</definedName>
    <definedName name="_mui271" localSheetId="2">'NF-2200-PID-01'!#REF!</definedName>
    <definedName name="_mui271" localSheetId="4">'PID-0101'!#REF!</definedName>
    <definedName name="_mui271" localSheetId="5">'PID-0101 (2)'!#REF!</definedName>
    <definedName name="_mui271">#REF!</definedName>
    <definedName name="_mui320" localSheetId="2">'NF-2200-PID-01'!#REF!</definedName>
    <definedName name="_mui320" localSheetId="4">'PID-0101'!#REF!</definedName>
    <definedName name="_mui320" localSheetId="5">'PID-0101 (2)'!#REF!</definedName>
    <definedName name="_mui320">#REF!</definedName>
    <definedName name="_mui45" localSheetId="2">'NF-2200-PID-01'!#REF!</definedName>
    <definedName name="_mui45" localSheetId="4">'PID-0101'!#REF!</definedName>
    <definedName name="_mui45" localSheetId="5">'PID-0101 (2)'!#REF!</definedName>
    <definedName name="_mui45">#REF!</definedName>
    <definedName name="_mui50" localSheetId="2">'NF-2200-PID-01'!#REF!</definedName>
    <definedName name="_mui50" localSheetId="4">'PID-0101'!#REF!</definedName>
    <definedName name="_mui50" localSheetId="5">'PID-0101 (2)'!#REF!</definedName>
    <definedName name="_mui50">#REF!</definedName>
    <definedName name="_mui54" localSheetId="2">'NF-2200-PID-01'!#REF!</definedName>
    <definedName name="_mui54" localSheetId="4">'PID-0101'!#REF!</definedName>
    <definedName name="_mui54" localSheetId="5">'PID-0101 (2)'!#REF!</definedName>
    <definedName name="_mui54">#REF!</definedName>
    <definedName name="_mui65" localSheetId="2">'NF-2200-PID-01'!#REF!</definedName>
    <definedName name="_mui65" localSheetId="4">'PID-0101'!#REF!</definedName>
    <definedName name="_mui65" localSheetId="5">'PID-0101 (2)'!#REF!</definedName>
    <definedName name="_mui65">#REF!</definedName>
    <definedName name="_mui75" localSheetId="2">'NF-2200-PID-01'!#REF!</definedName>
    <definedName name="_mui75" localSheetId="4">'PID-0101'!#REF!</definedName>
    <definedName name="_mui75" localSheetId="5">'PID-0101 (2)'!#REF!</definedName>
    <definedName name="_mui75">#REF!</definedName>
    <definedName name="_mui80" localSheetId="2">'NF-2200-PID-01'!#REF!</definedName>
    <definedName name="_mui80" localSheetId="4">'PID-0101'!#REF!</definedName>
    <definedName name="_mui80" localSheetId="5">'PID-0101 (2)'!#REF!</definedName>
    <definedName name="_mui80">#REF!</definedName>
    <definedName name="_NET2" localSheetId="2">'NF-2200-PID-01'!#REF!</definedName>
    <definedName name="_NET2" localSheetId="4">'PID-0101'!#REF!</definedName>
    <definedName name="_NET2" localSheetId="5">'PID-0101 (2)'!#REF!</definedName>
    <definedName name="_NET2">#REF!</definedName>
    <definedName name="_OPT10" localSheetId="2">[3]!_xlbgnm.OPT10</definedName>
    <definedName name="_OPT10" localSheetId="3">#REF!</definedName>
    <definedName name="_OPT10" localSheetId="4">[3]!_xlbgnm.OPT10</definedName>
    <definedName name="_OPT10" localSheetId="5">[3]!_xlbgnm.OPT10</definedName>
    <definedName name="_OPT10">[3]!_xlbgnm.OPT10</definedName>
    <definedName name="_OPT8" localSheetId="2">[4]!_xlbgnm.OPT8</definedName>
    <definedName name="_OPT8" localSheetId="3">#REF!</definedName>
    <definedName name="_OPT8" localSheetId="4">[4]!_xlbgnm.OPT8</definedName>
    <definedName name="_OPT8" localSheetId="5">[4]!_xlbgnm.OPT8</definedName>
    <definedName name="_OPT8">[4]!_xlbgnm.OPT8</definedName>
    <definedName name="_OPT9" localSheetId="2">[4]!_xlbgnm.OPT9</definedName>
    <definedName name="_OPT9" localSheetId="3">#REF!</definedName>
    <definedName name="_OPT9" localSheetId="4">[4]!_xlbgnm.OPT9</definedName>
    <definedName name="_OPT9" localSheetId="5">[4]!_xlbgnm.OPT9</definedName>
    <definedName name="_OPT9">[4]!_xlbgnm.OPT9</definedName>
    <definedName name="_Order1" hidden="1">255</definedName>
    <definedName name="_Order2" hidden="1">255</definedName>
    <definedName name="_sat10" localSheetId="2">'NF-2200-PID-01'!#REF!</definedName>
    <definedName name="_sat10" localSheetId="4">'PID-0101'!#REF!</definedName>
    <definedName name="_sat10" localSheetId="5">'PID-0101 (2)'!#REF!</definedName>
    <definedName name="_sat10">#REF!</definedName>
    <definedName name="_sat12" localSheetId="2">'NF-2200-PID-01'!#REF!</definedName>
    <definedName name="_sat12" localSheetId="4">'PID-0101'!#REF!</definedName>
    <definedName name="_sat12" localSheetId="5">'PID-0101 (2)'!#REF!</definedName>
    <definedName name="_sat12">#REF!</definedName>
    <definedName name="_sat14" localSheetId="2">'NF-2200-PID-01'!#REF!</definedName>
    <definedName name="_sat14" localSheetId="4">'PID-0101'!#REF!</definedName>
    <definedName name="_sat14" localSheetId="5">'PID-0101 (2)'!#REF!</definedName>
    <definedName name="_sat14">#REF!</definedName>
    <definedName name="_sat16" localSheetId="2">'NF-2200-PID-01'!#REF!</definedName>
    <definedName name="_sat16" localSheetId="4">'PID-0101'!#REF!</definedName>
    <definedName name="_sat16" localSheetId="5">'PID-0101 (2)'!#REF!</definedName>
    <definedName name="_sat16">#REF!</definedName>
    <definedName name="_sat20" localSheetId="2">'NF-2200-PID-01'!#REF!</definedName>
    <definedName name="_sat20" localSheetId="4">'PID-0101'!#REF!</definedName>
    <definedName name="_sat20" localSheetId="5">'PID-0101 (2)'!#REF!</definedName>
    <definedName name="_sat20">#REF!</definedName>
    <definedName name="_sat8" localSheetId="2">'NF-2200-PID-01'!#REF!</definedName>
    <definedName name="_sat8" localSheetId="4">'PID-0101'!#REF!</definedName>
    <definedName name="_sat8" localSheetId="5">'PID-0101 (2)'!#REF!</definedName>
    <definedName name="_sat8">#REF!</definedName>
    <definedName name="_Sort" localSheetId="2" hidden="1">'NF-2200-PID-01'!#REF!</definedName>
    <definedName name="_Sort" localSheetId="4" hidden="1">'PID-0101'!#REF!</definedName>
    <definedName name="_Sort" localSheetId="5" hidden="1">'PID-0101 (2)'!#REF!</definedName>
    <definedName name="_Sort" hidden="1">#REF!</definedName>
    <definedName name="_sua20" localSheetId="2">'NF-2200-PID-01'!#REF!</definedName>
    <definedName name="_sua20" localSheetId="4">'PID-0101'!#REF!</definedName>
    <definedName name="_sua20" localSheetId="5">'PID-0101 (2)'!#REF!</definedName>
    <definedName name="_sua20">#REF!</definedName>
    <definedName name="_sua30" localSheetId="2">'NF-2200-PID-01'!#REF!</definedName>
    <definedName name="_sua30" localSheetId="4">'PID-0101'!#REF!</definedName>
    <definedName name="_sua30" localSheetId="5">'PID-0101 (2)'!#REF!</definedName>
    <definedName name="_sua30">#REF!</definedName>
    <definedName name="_vbt150" localSheetId="2">'NF-2200-PID-01'!#REF!</definedName>
    <definedName name="_vbt150" localSheetId="4">'PID-0101'!#REF!</definedName>
    <definedName name="_vbt150" localSheetId="5">'PID-0101 (2)'!#REF!</definedName>
    <definedName name="_vbt150">#REF!</definedName>
    <definedName name="_vbt200" localSheetId="2">'NF-2200-PID-01'!#REF!</definedName>
    <definedName name="_vbt200" localSheetId="4">'PID-0101'!#REF!</definedName>
    <definedName name="_vbt200" localSheetId="5">'PID-0101 (2)'!#REF!</definedName>
    <definedName name="_vbt200">#REF!</definedName>
    <definedName name="_vbt210" localSheetId="2">'NF-2200-PID-01'!#REF!</definedName>
    <definedName name="_vbt210" localSheetId="4">'PID-0101'!#REF!</definedName>
    <definedName name="_vbt210" localSheetId="5">'PID-0101 (2)'!#REF!</definedName>
    <definedName name="_vbt210">#REF!</definedName>
    <definedName name="_vbt300" localSheetId="2">'NF-2200-PID-01'!#REF!</definedName>
    <definedName name="_vbt300" localSheetId="4">'PID-0101'!#REF!</definedName>
    <definedName name="_vbt300" localSheetId="5">'PID-0101 (2)'!#REF!</definedName>
    <definedName name="_vbt300">#REF!</definedName>
    <definedName name="_vbt400" localSheetId="2">'NF-2200-PID-01'!#REF!</definedName>
    <definedName name="_vbt400" localSheetId="4">'PID-0101'!#REF!</definedName>
    <definedName name="_vbt400" localSheetId="5">'PID-0101 (2)'!#REF!</definedName>
    <definedName name="_vbt400">#REF!</definedName>
    <definedName name="_vxm100" localSheetId="2">'NF-2200-PID-01'!#REF!</definedName>
    <definedName name="_vxm100" localSheetId="4">'PID-0101'!#REF!</definedName>
    <definedName name="_vxm100" localSheetId="5">'PID-0101 (2)'!#REF!</definedName>
    <definedName name="_vxm100">#REF!</definedName>
    <definedName name="_vxm300" localSheetId="2">'NF-2200-PID-01'!#REF!</definedName>
    <definedName name="_vxm300" localSheetId="4">'PID-0101'!#REF!</definedName>
    <definedName name="_vxm300" localSheetId="5">'PID-0101 (2)'!#REF!</definedName>
    <definedName name="_vxm300">#REF!</definedName>
    <definedName name="_vxm500" localSheetId="2">'NF-2200-PID-01'!#REF!</definedName>
    <definedName name="_vxm500" localSheetId="4">'PID-0101'!#REF!</definedName>
    <definedName name="_vxm500" localSheetId="5">'PID-0101 (2)'!#REF!</definedName>
    <definedName name="_vxm500">#REF!</definedName>
    <definedName name="_vxm75" localSheetId="2">'NF-2200-PID-01'!#REF!</definedName>
    <definedName name="_vxm75" localSheetId="4">'PID-0101'!#REF!</definedName>
    <definedName name="_vxm75" localSheetId="5">'PID-0101 (2)'!#REF!</definedName>
    <definedName name="_vxm75">#REF!</definedName>
    <definedName name="a277Print_Titles" localSheetId="2">'NF-2200-PID-01'!#REF!</definedName>
    <definedName name="a277Print_Titles" localSheetId="4">'PID-0101'!#REF!</definedName>
    <definedName name="a277Print_Titles" localSheetId="5">'PID-0101 (2)'!#REF!</definedName>
    <definedName name="a277Print_Titles">#REF!</definedName>
    <definedName name="aa" localSheetId="4">[1]!Module1.UNITOK</definedName>
    <definedName name="aa" localSheetId="5">[1]!Module1.UNITOK</definedName>
    <definedName name="aa">[1]!Module1.UNITOK</definedName>
    <definedName name="ab" localSheetId="2">'NF-2200-PID-01'!#REF!</definedName>
    <definedName name="ab" localSheetId="4">'PID-0101'!#REF!</definedName>
    <definedName name="ab" localSheetId="5">'PID-0101 (2)'!#REF!</definedName>
    <definedName name="ab">#REF!</definedName>
    <definedName name="abc" localSheetId="2">'NF-2200-PID-01'!#REF!</definedName>
    <definedName name="abc" localSheetId="4">'PID-0101'!#REF!</definedName>
    <definedName name="abc" localSheetId="5">'PID-0101 (2)'!#REF!</definedName>
    <definedName name="abc">#REF!</definedName>
    <definedName name="aho" localSheetId="2">'NF-2200-PID-01'!#REF!</definedName>
    <definedName name="aho" localSheetId="4">'PID-0101'!#REF!</definedName>
    <definedName name="aho" localSheetId="5">'PID-0101 (2)'!#REF!</definedName>
    <definedName name="aho">#REF!</definedName>
    <definedName name="aircompressor" localSheetId="2">'NF-2200-PID-01'!#REF!</definedName>
    <definedName name="aircompressor" localSheetId="4">'PID-0101'!#REF!</definedName>
    <definedName name="aircompressor" localSheetId="5">'PID-0101 (2)'!#REF!</definedName>
    <definedName name="aircompressor">#REF!</definedName>
    <definedName name="ASP" localSheetId="2">'NF-2200-PID-01'!#REF!</definedName>
    <definedName name="ASP" localSheetId="4">'PID-0101'!#REF!</definedName>
    <definedName name="ASP" localSheetId="5">'PID-0101 (2)'!#REF!</definedName>
    <definedName name="ASP">#REF!</definedName>
    <definedName name="b">#N/A</definedName>
    <definedName name="B_VND">0.05</definedName>
    <definedName name="B_YEN">0.1</definedName>
    <definedName name="Bang_cly" localSheetId="2">'NF-2200-PID-01'!#REF!</definedName>
    <definedName name="Bang_cly" localSheetId="4">'PID-0101'!#REF!</definedName>
    <definedName name="Bang_cly" localSheetId="5">'PID-0101 (2)'!#REF!</definedName>
    <definedName name="Bang_cly">#REF!</definedName>
    <definedName name="Bang_CVC" localSheetId="2">'NF-2200-PID-01'!#REF!</definedName>
    <definedName name="Bang_CVC" localSheetId="4">'PID-0101'!#REF!</definedName>
    <definedName name="Bang_CVC" localSheetId="5">'PID-0101 (2)'!#REF!</definedName>
    <definedName name="Bang_CVC">#REF!</definedName>
    <definedName name="bang_gia" localSheetId="2">'NF-2200-PID-01'!#REF!</definedName>
    <definedName name="bang_gia" localSheetId="4">'PID-0101'!#REF!</definedName>
    <definedName name="bang_gia" localSheetId="5">'PID-0101 (2)'!#REF!</definedName>
    <definedName name="bang_gia">#REF!</definedName>
    <definedName name="Bang_travl" localSheetId="2">'NF-2200-PID-01'!#REF!</definedName>
    <definedName name="Bang_travl" localSheetId="4">'PID-0101'!#REF!</definedName>
    <definedName name="Bang_travl" localSheetId="5">'PID-0101 (2)'!#REF!</definedName>
    <definedName name="Bang_travl">#REF!</definedName>
    <definedName name="bentonite" localSheetId="2">'NF-2200-PID-01'!#REF!</definedName>
    <definedName name="bentonite" localSheetId="4">'PID-0101'!#REF!</definedName>
    <definedName name="bentonite" localSheetId="5">'PID-0101 (2)'!#REF!</definedName>
    <definedName name="bentonite">#REF!</definedName>
    <definedName name="BF1_" localSheetId="2">'NF-2200-PID-01'!#REF!</definedName>
    <definedName name="BF1_" localSheetId="4">'PID-0101'!#REF!</definedName>
    <definedName name="BF1_" localSheetId="5">'PID-0101 (2)'!#REF!</definedName>
    <definedName name="BF1_">#REF!</definedName>
    <definedName name="BF2_" localSheetId="2">'NF-2200-PID-01'!#REF!</definedName>
    <definedName name="BF2_" localSheetId="4">'PID-0101'!#REF!</definedName>
    <definedName name="BF2_" localSheetId="5">'PID-0101 (2)'!#REF!</definedName>
    <definedName name="BF2_">#REF!</definedName>
    <definedName name="BF3_" localSheetId="2">'NF-2200-PID-01'!#REF!</definedName>
    <definedName name="BF3_" localSheetId="4">'PID-0101'!#REF!</definedName>
    <definedName name="BF3_" localSheetId="5">'PID-0101 (2)'!#REF!</definedName>
    <definedName name="BF3_">#REF!</definedName>
    <definedName name="BFBS" localSheetId="2">'NF-2200-PID-01'!#REF!</definedName>
    <definedName name="BFBS" localSheetId="4">'PID-0101'!#REF!</definedName>
    <definedName name="BFBS" localSheetId="5">'PID-0101 (2)'!#REF!</definedName>
    <definedName name="BFBS">#REF!</definedName>
    <definedName name="BFES" localSheetId="2">'NF-2200-PID-01'!#REF!</definedName>
    <definedName name="BFES" localSheetId="4">'PID-0101'!#REF!</definedName>
    <definedName name="BFES" localSheetId="5">'PID-0101 (2)'!#REF!</definedName>
    <definedName name="BFES">#REF!</definedName>
    <definedName name="BFS" localSheetId="2">'NF-2200-PID-01'!#REF!</definedName>
    <definedName name="BFS" localSheetId="4">'PID-0101'!#REF!</definedName>
    <definedName name="BFS" localSheetId="5">'PID-0101 (2)'!#REF!</definedName>
    <definedName name="BFS">#REF!</definedName>
    <definedName name="Book2" localSheetId="2">'NF-2200-PID-01'!#REF!</definedName>
    <definedName name="Book2" localSheetId="4">'PID-0101'!#REF!</definedName>
    <definedName name="Book2" localSheetId="5">'PID-0101 (2)'!#REF!</definedName>
    <definedName name="Book2">#REF!</definedName>
    <definedName name="BOQ" localSheetId="2">'NF-2200-PID-01'!#REF!</definedName>
    <definedName name="BOQ" localSheetId="4">'PID-0101'!#REF!</definedName>
    <definedName name="BOQ" localSheetId="5">'PID-0101 (2)'!#REF!</definedName>
    <definedName name="BOQ">#REF!</definedName>
    <definedName name="BT" localSheetId="2">'NF-2200-PID-01'!#REF!</definedName>
    <definedName name="BT" localSheetId="4">'PID-0101'!#REF!</definedName>
    <definedName name="BT" localSheetId="5">'PID-0101 (2)'!#REF!</definedName>
    <definedName name="BT">#REF!</definedName>
    <definedName name="btcocnhoi" localSheetId="2">'NF-2200-PID-01'!#REF!</definedName>
    <definedName name="btcocnhoi" localSheetId="4">'PID-0101'!#REF!</definedName>
    <definedName name="btcocnhoi" localSheetId="5">'PID-0101 (2)'!#REF!</definedName>
    <definedName name="btcocnhoi">#REF!</definedName>
    <definedName name="BVCISUMMARY" localSheetId="2">'NF-2200-PID-01'!#REF!</definedName>
    <definedName name="BVCISUMMARY" localSheetId="4">'PID-0101'!#REF!</definedName>
    <definedName name="BVCISUMMARY" localSheetId="5">'PID-0101 (2)'!#REF!</definedName>
    <definedName name="BVCISUMMARY">#REF!</definedName>
    <definedName name="C.1.1..Phat_tuyen" localSheetId="2">'NF-2200-PID-01'!#REF!</definedName>
    <definedName name="C.1.1..Phat_tuyen" localSheetId="4">'PID-0101'!#REF!</definedName>
    <definedName name="C.1.1..Phat_tuyen" localSheetId="5">'PID-0101 (2)'!#REF!</definedName>
    <definedName name="C.1.1..Phat_tuyen">#REF!</definedName>
    <definedName name="C.1.10..VC_Thu_cong_CG" localSheetId="2">'NF-2200-PID-01'!#REF!</definedName>
    <definedName name="C.1.10..VC_Thu_cong_CG" localSheetId="4">'PID-0101'!#REF!</definedName>
    <definedName name="C.1.10..VC_Thu_cong_CG" localSheetId="5">'PID-0101 (2)'!#REF!</definedName>
    <definedName name="C.1.10..VC_Thu_cong_CG">#REF!</definedName>
    <definedName name="C.1.2..Chat_cay_thu_cong" localSheetId="2">'NF-2200-PID-01'!#REF!</definedName>
    <definedName name="C.1.2..Chat_cay_thu_cong" localSheetId="4">'PID-0101'!#REF!</definedName>
    <definedName name="C.1.2..Chat_cay_thu_cong" localSheetId="5">'PID-0101 (2)'!#REF!</definedName>
    <definedName name="C.1.2..Chat_cay_thu_cong">#REF!</definedName>
    <definedName name="C.1.3..Chat_cay_may" localSheetId="2">'NF-2200-PID-01'!#REF!</definedName>
    <definedName name="C.1.3..Chat_cay_may" localSheetId="4">'PID-0101'!#REF!</definedName>
    <definedName name="C.1.3..Chat_cay_may" localSheetId="5">'PID-0101 (2)'!#REF!</definedName>
    <definedName name="C.1.3..Chat_cay_may">#REF!</definedName>
    <definedName name="C.1.4..Dao_goc_cay" localSheetId="2">'NF-2200-PID-01'!#REF!</definedName>
    <definedName name="C.1.4..Dao_goc_cay" localSheetId="4">'PID-0101'!#REF!</definedName>
    <definedName name="C.1.4..Dao_goc_cay" localSheetId="5">'PID-0101 (2)'!#REF!</definedName>
    <definedName name="C.1.4..Dao_goc_cay">#REF!</definedName>
    <definedName name="C.1.5..Lam_duong_tam" localSheetId="2">'NF-2200-PID-01'!#REF!</definedName>
    <definedName name="C.1.5..Lam_duong_tam" localSheetId="4">'PID-0101'!#REF!</definedName>
    <definedName name="C.1.5..Lam_duong_tam" localSheetId="5">'PID-0101 (2)'!#REF!</definedName>
    <definedName name="C.1.5..Lam_duong_tam">#REF!</definedName>
    <definedName name="C.1.6..Lam_cau_tam" localSheetId="2">'NF-2200-PID-01'!#REF!</definedName>
    <definedName name="C.1.6..Lam_cau_tam" localSheetId="4">'PID-0101'!#REF!</definedName>
    <definedName name="C.1.6..Lam_cau_tam" localSheetId="5">'PID-0101 (2)'!#REF!</definedName>
    <definedName name="C.1.6..Lam_cau_tam">#REF!</definedName>
    <definedName name="C.1.7..Rai_da_chong_lun" localSheetId="2">'NF-2200-PID-01'!#REF!</definedName>
    <definedName name="C.1.7..Rai_da_chong_lun" localSheetId="4">'PID-0101'!#REF!</definedName>
    <definedName name="C.1.7..Rai_da_chong_lun" localSheetId="5">'PID-0101 (2)'!#REF!</definedName>
    <definedName name="C.1.7..Rai_da_chong_lun">#REF!</definedName>
    <definedName name="C.1.8..Lam_kho_tam" localSheetId="2">'NF-2200-PID-01'!#REF!</definedName>
    <definedName name="C.1.8..Lam_kho_tam" localSheetId="4">'PID-0101'!#REF!</definedName>
    <definedName name="C.1.8..Lam_kho_tam" localSheetId="5">'PID-0101 (2)'!#REF!</definedName>
    <definedName name="C.1.8..Lam_kho_tam">#REF!</definedName>
    <definedName name="C.1.8..San_mat_bang" localSheetId="2">'NF-2200-PID-01'!#REF!</definedName>
    <definedName name="C.1.8..San_mat_bang" localSheetId="4">'PID-0101'!#REF!</definedName>
    <definedName name="C.1.8..San_mat_bang" localSheetId="5">'PID-0101 (2)'!#REF!</definedName>
    <definedName name="C.1.8..San_mat_bang">#REF!</definedName>
    <definedName name="C.2.1..VC_Thu_cong" localSheetId="2">'NF-2200-PID-01'!#REF!</definedName>
    <definedName name="C.2.1..VC_Thu_cong" localSheetId="4">'PID-0101'!#REF!</definedName>
    <definedName name="C.2.1..VC_Thu_cong" localSheetId="5">'PID-0101 (2)'!#REF!</definedName>
    <definedName name="C.2.1..VC_Thu_cong">#REF!</definedName>
    <definedName name="C.2.2..VC_T_cong_CG" localSheetId="2">'NF-2200-PID-01'!#REF!</definedName>
    <definedName name="C.2.2..VC_T_cong_CG" localSheetId="4">'PID-0101'!#REF!</definedName>
    <definedName name="C.2.2..VC_T_cong_CG" localSheetId="5">'PID-0101 (2)'!#REF!</definedName>
    <definedName name="C.2.2..VC_T_cong_CG">#REF!</definedName>
    <definedName name="C.2.3..Boc_do" localSheetId="2">'NF-2200-PID-01'!#REF!</definedName>
    <definedName name="C.2.3..Boc_do" localSheetId="4">'PID-0101'!#REF!</definedName>
    <definedName name="C.2.3..Boc_do" localSheetId="5">'PID-0101 (2)'!#REF!</definedName>
    <definedName name="C.2.3..Boc_do">#REF!</definedName>
    <definedName name="C.3.1..Dao_dat_mong_cot" localSheetId="2">'NF-2200-PID-01'!#REF!</definedName>
    <definedName name="C.3.1..Dao_dat_mong_cot" localSheetId="4">'PID-0101'!#REF!</definedName>
    <definedName name="C.3.1..Dao_dat_mong_cot" localSheetId="5">'PID-0101 (2)'!#REF!</definedName>
    <definedName name="C.3.1..Dao_dat_mong_cot">#REF!</definedName>
    <definedName name="C.3.2..Dao_dat_de_dap" localSheetId="2">'NF-2200-PID-01'!#REF!</definedName>
    <definedName name="C.3.2..Dao_dat_de_dap" localSheetId="4">'PID-0101'!#REF!</definedName>
    <definedName name="C.3.2..Dao_dat_de_dap" localSheetId="5">'PID-0101 (2)'!#REF!</definedName>
    <definedName name="C.3.2..Dao_dat_de_dap">#REF!</definedName>
    <definedName name="C.3.3..Dap_dat_mong" localSheetId="2">'NF-2200-PID-01'!#REF!</definedName>
    <definedName name="C.3.3..Dap_dat_mong" localSheetId="4">'PID-0101'!#REF!</definedName>
    <definedName name="C.3.3..Dap_dat_mong" localSheetId="5">'PID-0101 (2)'!#REF!</definedName>
    <definedName name="C.3.3..Dap_dat_mong">#REF!</definedName>
    <definedName name="C.3.4..Dao_dap_TDia" localSheetId="2">'NF-2200-PID-01'!#REF!</definedName>
    <definedName name="C.3.4..Dao_dap_TDia" localSheetId="4">'PID-0101'!#REF!</definedName>
    <definedName name="C.3.4..Dao_dap_TDia" localSheetId="5">'PID-0101 (2)'!#REF!</definedName>
    <definedName name="C.3.4..Dao_dap_TDia">#REF!</definedName>
    <definedName name="C.3.5..Dap_bo_bao" localSheetId="2">'NF-2200-PID-01'!#REF!</definedName>
    <definedName name="C.3.5..Dap_bo_bao" localSheetId="4">'PID-0101'!#REF!</definedName>
    <definedName name="C.3.5..Dap_bo_bao" localSheetId="5">'PID-0101 (2)'!#REF!</definedName>
    <definedName name="C.3.5..Dap_bo_bao">#REF!</definedName>
    <definedName name="C.3.6..Bom_tat_nuoc" localSheetId="2">'NF-2200-PID-01'!#REF!</definedName>
    <definedName name="C.3.6..Bom_tat_nuoc" localSheetId="4">'PID-0101'!#REF!</definedName>
    <definedName name="C.3.6..Bom_tat_nuoc" localSheetId="5">'PID-0101 (2)'!#REF!</definedName>
    <definedName name="C.3.6..Bom_tat_nuoc">#REF!</definedName>
    <definedName name="C.3.7..Dao_bun" localSheetId="2">'NF-2200-PID-01'!#REF!</definedName>
    <definedName name="C.3.7..Dao_bun" localSheetId="4">'PID-0101'!#REF!</definedName>
    <definedName name="C.3.7..Dao_bun" localSheetId="5">'PID-0101 (2)'!#REF!</definedName>
    <definedName name="C.3.7..Dao_bun">#REF!</definedName>
    <definedName name="C.3.8..Dap_cat_CT" localSheetId="2">'NF-2200-PID-01'!#REF!</definedName>
    <definedName name="C.3.8..Dap_cat_CT" localSheetId="4">'PID-0101'!#REF!</definedName>
    <definedName name="C.3.8..Dap_cat_CT" localSheetId="5">'PID-0101 (2)'!#REF!</definedName>
    <definedName name="C.3.8..Dap_cat_CT">#REF!</definedName>
    <definedName name="C.3.9..Dao_pha_da" localSheetId="2">'NF-2200-PID-01'!#REF!</definedName>
    <definedName name="C.3.9..Dao_pha_da" localSheetId="4">'PID-0101'!#REF!</definedName>
    <definedName name="C.3.9..Dao_pha_da" localSheetId="5">'PID-0101 (2)'!#REF!</definedName>
    <definedName name="C.3.9..Dao_pha_da">#REF!</definedName>
    <definedName name="C.4.1.Cot_thep" localSheetId="2">'NF-2200-PID-01'!#REF!</definedName>
    <definedName name="C.4.1.Cot_thep" localSheetId="4">'PID-0101'!#REF!</definedName>
    <definedName name="C.4.1.Cot_thep" localSheetId="5">'PID-0101 (2)'!#REF!</definedName>
    <definedName name="C.4.1.Cot_thep">#REF!</definedName>
    <definedName name="C.4.2..Van_khuon" localSheetId="2">'NF-2200-PID-01'!#REF!</definedName>
    <definedName name="C.4.2..Van_khuon" localSheetId="4">'PID-0101'!#REF!</definedName>
    <definedName name="C.4.2..Van_khuon" localSheetId="5">'PID-0101 (2)'!#REF!</definedName>
    <definedName name="C.4.2..Van_khuon">#REF!</definedName>
    <definedName name="C.4.3..Be_tong" localSheetId="2">'NF-2200-PID-01'!#REF!</definedName>
    <definedName name="C.4.3..Be_tong" localSheetId="4">'PID-0101'!#REF!</definedName>
    <definedName name="C.4.3..Be_tong" localSheetId="5">'PID-0101 (2)'!#REF!</definedName>
    <definedName name="C.4.3..Be_tong">#REF!</definedName>
    <definedName name="C.4.4..Lap_BT_D.San" localSheetId="2">'NF-2200-PID-01'!#REF!</definedName>
    <definedName name="C.4.4..Lap_BT_D.San" localSheetId="4">'PID-0101'!#REF!</definedName>
    <definedName name="C.4.4..Lap_BT_D.San" localSheetId="5">'PID-0101 (2)'!#REF!</definedName>
    <definedName name="C.4.4..Lap_BT_D.San">#REF!</definedName>
    <definedName name="C.4.5..Xay_da_hoc" localSheetId="2">'NF-2200-PID-01'!#REF!</definedName>
    <definedName name="C.4.5..Xay_da_hoc" localSheetId="4">'PID-0101'!#REF!</definedName>
    <definedName name="C.4.5..Xay_da_hoc" localSheetId="5">'PID-0101 (2)'!#REF!</definedName>
    <definedName name="C.4.5..Xay_da_hoc">#REF!</definedName>
    <definedName name="C.4.6..Dong_coc" localSheetId="2">'NF-2200-PID-01'!#REF!</definedName>
    <definedName name="C.4.6..Dong_coc" localSheetId="4">'PID-0101'!#REF!</definedName>
    <definedName name="C.4.6..Dong_coc" localSheetId="5">'PID-0101 (2)'!#REF!</definedName>
    <definedName name="C.4.6..Dong_coc">#REF!</definedName>
    <definedName name="C.4.7..Quet_Bi_tum" localSheetId="2">'NF-2200-PID-01'!#REF!</definedName>
    <definedName name="C.4.7..Quet_Bi_tum" localSheetId="4">'PID-0101'!#REF!</definedName>
    <definedName name="C.4.7..Quet_Bi_tum" localSheetId="5">'PID-0101 (2)'!#REF!</definedName>
    <definedName name="C.4.7..Quet_Bi_tum">#REF!</definedName>
    <definedName name="C.5.1..Lap_cot_thep" localSheetId="2">'NF-2200-PID-01'!#REF!</definedName>
    <definedName name="C.5.1..Lap_cot_thep" localSheetId="4">'PID-0101'!#REF!</definedName>
    <definedName name="C.5.1..Lap_cot_thep" localSheetId="5">'PID-0101 (2)'!#REF!</definedName>
    <definedName name="C.5.1..Lap_cot_thep">#REF!</definedName>
    <definedName name="C.5.2..Lap_cot_BT" localSheetId="2">'NF-2200-PID-01'!#REF!</definedName>
    <definedName name="C.5.2..Lap_cot_BT" localSheetId="4">'PID-0101'!#REF!</definedName>
    <definedName name="C.5.2..Lap_cot_BT" localSheetId="5">'PID-0101 (2)'!#REF!</definedName>
    <definedName name="C.5.2..Lap_cot_BT">#REF!</definedName>
    <definedName name="C.5.3..Lap_dat_xa" localSheetId="2">'NF-2200-PID-01'!#REF!</definedName>
    <definedName name="C.5.3..Lap_dat_xa" localSheetId="4">'PID-0101'!#REF!</definedName>
    <definedName name="C.5.3..Lap_dat_xa" localSheetId="5">'PID-0101 (2)'!#REF!</definedName>
    <definedName name="C.5.3..Lap_dat_xa">#REF!</definedName>
    <definedName name="C.5.4..Lap_tiep_dia" localSheetId="2">'NF-2200-PID-01'!#REF!</definedName>
    <definedName name="C.5.4..Lap_tiep_dia" localSheetId="4">'PID-0101'!#REF!</definedName>
    <definedName name="C.5.4..Lap_tiep_dia" localSheetId="5">'PID-0101 (2)'!#REF!</definedName>
    <definedName name="C.5.4..Lap_tiep_dia">#REF!</definedName>
    <definedName name="C.5.5..Son_sat_thep" localSheetId="2">'NF-2200-PID-01'!#REF!</definedName>
    <definedName name="C.5.5..Son_sat_thep" localSheetId="4">'PID-0101'!#REF!</definedName>
    <definedName name="C.5.5..Son_sat_thep" localSheetId="5">'PID-0101 (2)'!#REF!</definedName>
    <definedName name="C.5.5..Son_sat_thep">#REF!</definedName>
    <definedName name="C.6.1..Lap_su_dung" localSheetId="2">'NF-2200-PID-01'!#REF!</definedName>
    <definedName name="C.6.1..Lap_su_dung" localSheetId="4">'PID-0101'!#REF!</definedName>
    <definedName name="C.6.1..Lap_su_dung" localSheetId="5">'PID-0101 (2)'!#REF!</definedName>
    <definedName name="C.6.1..Lap_su_dung">#REF!</definedName>
    <definedName name="C.6.2..Lap_su_CS" localSheetId="2">'NF-2200-PID-01'!#REF!</definedName>
    <definedName name="C.6.2..Lap_su_CS" localSheetId="4">'PID-0101'!#REF!</definedName>
    <definedName name="C.6.2..Lap_su_CS" localSheetId="5">'PID-0101 (2)'!#REF!</definedName>
    <definedName name="C.6.2..Lap_su_CS">#REF!</definedName>
    <definedName name="C.6.3..Su_chuoi_do" localSheetId="2">'NF-2200-PID-01'!#REF!</definedName>
    <definedName name="C.6.3..Su_chuoi_do" localSheetId="4">'PID-0101'!#REF!</definedName>
    <definedName name="C.6.3..Su_chuoi_do" localSheetId="5">'PID-0101 (2)'!#REF!</definedName>
    <definedName name="C.6.3..Su_chuoi_do">#REF!</definedName>
    <definedName name="C.6.4..Su_chuoi_neo" localSheetId="2">'NF-2200-PID-01'!#REF!</definedName>
    <definedName name="C.6.4..Su_chuoi_neo" localSheetId="4">'PID-0101'!#REF!</definedName>
    <definedName name="C.6.4..Su_chuoi_neo" localSheetId="5">'PID-0101 (2)'!#REF!</definedName>
    <definedName name="C.6.4..Su_chuoi_neo">#REF!</definedName>
    <definedName name="C.6.5..Lap_phu_kien" localSheetId="2">'NF-2200-PID-01'!#REF!</definedName>
    <definedName name="C.6.5..Lap_phu_kien" localSheetId="4">'PID-0101'!#REF!</definedName>
    <definedName name="C.6.5..Lap_phu_kien" localSheetId="5">'PID-0101 (2)'!#REF!</definedName>
    <definedName name="C.6.5..Lap_phu_kien">#REF!</definedName>
    <definedName name="C.6.6..Ep_noi_day" localSheetId="2">'NF-2200-PID-01'!#REF!</definedName>
    <definedName name="C.6.6..Ep_noi_day" localSheetId="4">'PID-0101'!#REF!</definedName>
    <definedName name="C.6.6..Ep_noi_day" localSheetId="5">'PID-0101 (2)'!#REF!</definedName>
    <definedName name="C.6.6..Ep_noi_day">#REF!</definedName>
    <definedName name="C.6.7..KD_vuot_CN" localSheetId="2">'NF-2200-PID-01'!#REF!</definedName>
    <definedName name="C.6.7..KD_vuot_CN" localSheetId="4">'PID-0101'!#REF!</definedName>
    <definedName name="C.6.7..KD_vuot_CN" localSheetId="5">'PID-0101 (2)'!#REF!</definedName>
    <definedName name="C.6.7..KD_vuot_CN">#REF!</definedName>
    <definedName name="C.6.8..Rai_cang_day" localSheetId="2">'NF-2200-PID-01'!#REF!</definedName>
    <definedName name="C.6.8..Rai_cang_day" localSheetId="4">'PID-0101'!#REF!</definedName>
    <definedName name="C.6.8..Rai_cang_day" localSheetId="5">'PID-0101 (2)'!#REF!</definedName>
    <definedName name="C.6.8..Rai_cang_day">#REF!</definedName>
    <definedName name="C.6.9..Cap_quang" localSheetId="2">'NF-2200-PID-01'!#REF!</definedName>
    <definedName name="C.6.9..Cap_quang" localSheetId="4">'PID-0101'!#REF!</definedName>
    <definedName name="C.6.9..Cap_quang" localSheetId="5">'PID-0101 (2)'!#REF!</definedName>
    <definedName name="C.6.9..Cap_quang">#REF!</definedName>
    <definedName name="C_VND">0.03</definedName>
    <definedName name="C_YEN">0.1</definedName>
    <definedName name="cfk" localSheetId="2">'NF-2200-PID-01'!#REF!</definedName>
    <definedName name="cfk" localSheetId="4">'PID-0101'!#REF!</definedName>
    <definedName name="cfk" localSheetId="5">'PID-0101 (2)'!#REF!</definedName>
    <definedName name="cfk">#REF!</definedName>
    <definedName name="chiyoko" localSheetId="2">'NF-2200-PID-01'!#REF!</definedName>
    <definedName name="chiyoko" localSheetId="4">'PID-0101'!#REF!</definedName>
    <definedName name="chiyoko" localSheetId="5">'PID-0101 (2)'!#REF!</definedName>
    <definedName name="chiyoko">#REF!</definedName>
    <definedName name="chung">66</definedName>
    <definedName name="Co" localSheetId="2">'NF-2200-PID-01'!#REF!</definedName>
    <definedName name="Co" localSheetId="4">'PID-0101'!#REF!</definedName>
    <definedName name="Co" localSheetId="5">'PID-0101 (2)'!#REF!</definedName>
    <definedName name="Co">#REF!</definedName>
    <definedName name="COAT" localSheetId="2">'NF-2200-PID-01'!#REF!</definedName>
    <definedName name="COAT" localSheetId="4">'PID-0101'!#REF!</definedName>
    <definedName name="COAT" localSheetId="5">'PID-0101 (2)'!#REF!</definedName>
    <definedName name="COAT">#REF!</definedName>
    <definedName name="COMMON" localSheetId="2">'NF-2200-PID-01'!#REF!</definedName>
    <definedName name="COMMON" localSheetId="4">'PID-0101'!#REF!</definedName>
    <definedName name="COMMON" localSheetId="5">'PID-0101 (2)'!#REF!</definedName>
    <definedName name="COMMON">#REF!</definedName>
    <definedName name="COMPRESSOR" localSheetId="2">'NF-2200-PID-01'!#REF!</definedName>
    <definedName name="COMPRESSOR" localSheetId="4">'PID-0101'!#REF!</definedName>
    <definedName name="COMPRESSOR" localSheetId="5">'PID-0101 (2)'!#REF!</definedName>
    <definedName name="COMPRESSOR">#REF!</definedName>
    <definedName name="CON_EQP_COS" localSheetId="2">'NF-2200-PID-01'!#REF!</definedName>
    <definedName name="CON_EQP_COS" localSheetId="4">'PID-0101'!#REF!</definedName>
    <definedName name="CON_EQP_COS" localSheetId="5">'PID-0101 (2)'!#REF!</definedName>
    <definedName name="CON_EQP_COS">#REF!</definedName>
    <definedName name="CONC25" localSheetId="2">'NF-2200-PID-01'!#REF!</definedName>
    <definedName name="CONC25" localSheetId="4">'PID-0101'!#REF!</definedName>
    <definedName name="CONC25" localSheetId="5">'PID-0101 (2)'!#REF!</definedName>
    <definedName name="CONC25">#REF!</definedName>
    <definedName name="CONC30" localSheetId="2">'NF-2200-PID-01'!#REF!</definedName>
    <definedName name="CONC30" localSheetId="4">'PID-0101'!#REF!</definedName>
    <definedName name="CONC30" localSheetId="5">'PID-0101 (2)'!#REF!</definedName>
    <definedName name="CONC30">#REF!</definedName>
    <definedName name="CONCS25" localSheetId="2">'NF-2200-PID-01'!#REF!</definedName>
    <definedName name="CONCS25" localSheetId="4">'PID-0101'!#REF!</definedName>
    <definedName name="CONCS25" localSheetId="5">'PID-0101 (2)'!#REF!</definedName>
    <definedName name="CONCS25">#REF!</definedName>
    <definedName name="CONCS30" localSheetId="2">'NF-2200-PID-01'!#REF!</definedName>
    <definedName name="CONCS30" localSheetId="4">'PID-0101'!#REF!</definedName>
    <definedName name="CONCS30" localSheetId="5">'PID-0101 (2)'!#REF!</definedName>
    <definedName name="CONCS30">#REF!</definedName>
    <definedName name="Cong_HM_DTCT" localSheetId="2">'NF-2200-PID-01'!#REF!</definedName>
    <definedName name="Cong_HM_DTCT" localSheetId="4">'PID-0101'!#REF!</definedName>
    <definedName name="Cong_HM_DTCT" localSheetId="5">'PID-0101 (2)'!#REF!</definedName>
    <definedName name="Cong_HM_DTCT">#REF!</definedName>
    <definedName name="Cong_M_DTCT" localSheetId="2">'NF-2200-PID-01'!#REF!</definedName>
    <definedName name="Cong_M_DTCT" localSheetId="4">'PID-0101'!#REF!</definedName>
    <definedName name="Cong_M_DTCT" localSheetId="5">'PID-0101 (2)'!#REF!</definedName>
    <definedName name="Cong_M_DTCT">#REF!</definedName>
    <definedName name="Cong_NC_DTCT" localSheetId="2">'NF-2200-PID-01'!#REF!</definedName>
    <definedName name="Cong_NC_DTCT" localSheetId="4">'PID-0101'!#REF!</definedName>
    <definedName name="Cong_NC_DTCT" localSheetId="5">'PID-0101 (2)'!#REF!</definedName>
    <definedName name="Cong_NC_DTCT">#REF!</definedName>
    <definedName name="Cong_VL_DTCT" localSheetId="2">'NF-2200-PID-01'!#REF!</definedName>
    <definedName name="Cong_VL_DTCT" localSheetId="4">'PID-0101'!#REF!</definedName>
    <definedName name="Cong_VL_DTCT" localSheetId="5">'PID-0101 (2)'!#REF!</definedName>
    <definedName name="Cong_VL_DTCT">#REF!</definedName>
    <definedName name="cot7.5" localSheetId="2">'NF-2200-PID-01'!#REF!</definedName>
    <definedName name="cot7.5" localSheetId="4">'PID-0101'!#REF!</definedName>
    <definedName name="cot7.5" localSheetId="5">'PID-0101 (2)'!#REF!</definedName>
    <definedName name="cot7.5">#REF!</definedName>
    <definedName name="cot8.5" localSheetId="2">'NF-2200-PID-01'!#REF!</definedName>
    <definedName name="cot8.5" localSheetId="4">'PID-0101'!#REF!</definedName>
    <definedName name="cot8.5" localSheetId="5">'PID-0101 (2)'!#REF!</definedName>
    <definedName name="cot8.5">#REF!</definedName>
    <definedName name="COVER" localSheetId="2">'NF-2200-PID-01'!#REF!</definedName>
    <definedName name="COVER" localSheetId="4">'PID-0101'!#REF!</definedName>
    <definedName name="COVER" localSheetId="5">'PID-0101 (2)'!#REF!</definedName>
    <definedName name="COVER">#REF!</definedName>
    <definedName name="cpc" localSheetId="2">'NF-2200-PID-01'!#REF!</definedName>
    <definedName name="cpc" localSheetId="4">'PID-0101'!#REF!</definedName>
    <definedName name="cpc" localSheetId="5">'PID-0101 (2)'!#REF!</definedName>
    <definedName name="cpc">#REF!</definedName>
    <definedName name="CRITINST" localSheetId="2">'NF-2200-PID-01'!#REF!</definedName>
    <definedName name="CRITINST" localSheetId="4">'PID-0101'!#REF!</definedName>
    <definedName name="CRITINST" localSheetId="5">'PID-0101 (2)'!#REF!</definedName>
    <definedName name="CRITINST">#REF!</definedName>
    <definedName name="CRITPURC" localSheetId="2">'NF-2200-PID-01'!#REF!</definedName>
    <definedName name="CRITPURC" localSheetId="4">'PID-0101'!#REF!</definedName>
    <definedName name="CRITPURC" localSheetId="5">'PID-0101 (2)'!#REF!</definedName>
    <definedName name="CRITPURC">#REF!</definedName>
    <definedName name="CS" localSheetId="2">'NF-2200-PID-01'!#REF!</definedName>
    <definedName name="CS" localSheetId="4">'PID-0101'!#REF!</definedName>
    <definedName name="CS" localSheetId="5">'PID-0101 (2)'!#REF!</definedName>
    <definedName name="CS">#REF!</definedName>
    <definedName name="CS_10" localSheetId="2">'NF-2200-PID-01'!#REF!</definedName>
    <definedName name="CS_10" localSheetId="4">'PID-0101'!#REF!</definedName>
    <definedName name="CS_10" localSheetId="5">'PID-0101 (2)'!#REF!</definedName>
    <definedName name="CS_10">#REF!</definedName>
    <definedName name="CS_100" localSheetId="2">'NF-2200-PID-01'!#REF!</definedName>
    <definedName name="CS_100" localSheetId="4">'PID-0101'!#REF!</definedName>
    <definedName name="CS_100" localSheetId="5">'PID-0101 (2)'!#REF!</definedName>
    <definedName name="CS_100">#REF!</definedName>
    <definedName name="CS_10S" localSheetId="2">'NF-2200-PID-01'!#REF!</definedName>
    <definedName name="CS_10S" localSheetId="4">'PID-0101'!#REF!</definedName>
    <definedName name="CS_10S" localSheetId="5">'PID-0101 (2)'!#REF!</definedName>
    <definedName name="CS_10S">#REF!</definedName>
    <definedName name="CS_120" localSheetId="2">'NF-2200-PID-01'!#REF!</definedName>
    <definedName name="CS_120" localSheetId="4">'PID-0101'!#REF!</definedName>
    <definedName name="CS_120" localSheetId="5">'PID-0101 (2)'!#REF!</definedName>
    <definedName name="CS_120">#REF!</definedName>
    <definedName name="CS_140" localSheetId="2">'NF-2200-PID-01'!#REF!</definedName>
    <definedName name="CS_140" localSheetId="4">'PID-0101'!#REF!</definedName>
    <definedName name="CS_140" localSheetId="5">'PID-0101 (2)'!#REF!</definedName>
    <definedName name="CS_140">#REF!</definedName>
    <definedName name="CS_160" localSheetId="2">'NF-2200-PID-01'!#REF!</definedName>
    <definedName name="CS_160" localSheetId="4">'PID-0101'!#REF!</definedName>
    <definedName name="CS_160" localSheetId="5">'PID-0101 (2)'!#REF!</definedName>
    <definedName name="CS_160">#REF!</definedName>
    <definedName name="CS_20" localSheetId="2">'NF-2200-PID-01'!#REF!</definedName>
    <definedName name="CS_20" localSheetId="4">'PID-0101'!#REF!</definedName>
    <definedName name="CS_20" localSheetId="5">'PID-0101 (2)'!#REF!</definedName>
    <definedName name="CS_20">#REF!</definedName>
    <definedName name="CS_30" localSheetId="2">'NF-2200-PID-01'!#REF!</definedName>
    <definedName name="CS_30" localSheetId="4">'PID-0101'!#REF!</definedName>
    <definedName name="CS_30" localSheetId="5">'PID-0101 (2)'!#REF!</definedName>
    <definedName name="CS_30">#REF!</definedName>
    <definedName name="CS_40" localSheetId="2">'NF-2200-PID-01'!#REF!</definedName>
    <definedName name="CS_40" localSheetId="4">'PID-0101'!#REF!</definedName>
    <definedName name="CS_40" localSheetId="5">'PID-0101 (2)'!#REF!</definedName>
    <definedName name="CS_40">#REF!</definedName>
    <definedName name="CS_40S" localSheetId="2">'NF-2200-PID-01'!#REF!</definedName>
    <definedName name="CS_40S" localSheetId="4">'PID-0101'!#REF!</definedName>
    <definedName name="CS_40S" localSheetId="5">'PID-0101 (2)'!#REF!</definedName>
    <definedName name="CS_40S">#REF!</definedName>
    <definedName name="CS_5S" localSheetId="2">'NF-2200-PID-01'!#REF!</definedName>
    <definedName name="CS_5S" localSheetId="4">'PID-0101'!#REF!</definedName>
    <definedName name="CS_5S" localSheetId="5">'PID-0101 (2)'!#REF!</definedName>
    <definedName name="CS_5S">#REF!</definedName>
    <definedName name="CS_60" localSheetId="2">'NF-2200-PID-01'!#REF!</definedName>
    <definedName name="CS_60" localSheetId="4">'PID-0101'!#REF!</definedName>
    <definedName name="CS_60" localSheetId="5">'PID-0101 (2)'!#REF!</definedName>
    <definedName name="CS_60">#REF!</definedName>
    <definedName name="CS_80" localSheetId="2">'NF-2200-PID-01'!#REF!</definedName>
    <definedName name="CS_80" localSheetId="4">'PID-0101'!#REF!</definedName>
    <definedName name="CS_80" localSheetId="5">'PID-0101 (2)'!#REF!</definedName>
    <definedName name="CS_80">#REF!</definedName>
    <definedName name="CS_80S" localSheetId="2">'NF-2200-PID-01'!#REF!</definedName>
    <definedName name="CS_80S" localSheetId="4">'PID-0101'!#REF!</definedName>
    <definedName name="CS_80S" localSheetId="5">'PID-0101 (2)'!#REF!</definedName>
    <definedName name="CS_80S">#REF!</definedName>
    <definedName name="CS_STD" localSheetId="2">'NF-2200-PID-01'!#REF!</definedName>
    <definedName name="CS_STD" localSheetId="4">'PID-0101'!#REF!</definedName>
    <definedName name="CS_STD" localSheetId="5">'PID-0101 (2)'!#REF!</definedName>
    <definedName name="CS_STD">#REF!</definedName>
    <definedName name="CS_XS" localSheetId="2">'NF-2200-PID-01'!#REF!</definedName>
    <definedName name="CS_XS" localSheetId="4">'PID-0101'!#REF!</definedName>
    <definedName name="CS_XS" localSheetId="5">'PID-0101 (2)'!#REF!</definedName>
    <definedName name="CS_XS">#REF!</definedName>
    <definedName name="CS_XXS" localSheetId="2">'NF-2200-PID-01'!#REF!</definedName>
    <definedName name="CS_XXS" localSheetId="4">'PID-0101'!#REF!</definedName>
    <definedName name="CS_XXS" localSheetId="5">'PID-0101 (2)'!#REF!</definedName>
    <definedName name="CS_XXS">#REF!</definedName>
    <definedName name="ctiep" localSheetId="2">'NF-2200-PID-01'!#REF!</definedName>
    <definedName name="ctiep" localSheetId="4">'PID-0101'!#REF!</definedName>
    <definedName name="ctiep" localSheetId="5">'PID-0101 (2)'!#REF!</definedName>
    <definedName name="ctiep">#REF!</definedName>
    <definedName name="CU_LY" localSheetId="2">'NF-2200-PID-01'!#REF!</definedName>
    <definedName name="CU_LY" localSheetId="4">'PID-0101'!#REF!</definedName>
    <definedName name="CU_LY" localSheetId="5">'PID-0101 (2)'!#REF!</definedName>
    <definedName name="CU_LY">#REF!</definedName>
    <definedName name="cuoc_vc" localSheetId="2">'NF-2200-PID-01'!#REF!</definedName>
    <definedName name="cuoc_vc" localSheetId="4">'PID-0101'!#REF!</definedName>
    <definedName name="cuoc_vc" localSheetId="5">'PID-0101 (2)'!#REF!</definedName>
    <definedName name="cuoc_vc">#REF!</definedName>
    <definedName name="cx" localSheetId="2">'NF-2200-PID-01'!#REF!</definedName>
    <definedName name="cx" localSheetId="4">'PID-0101'!#REF!</definedName>
    <definedName name="cx" localSheetId="5">'PID-0101 (2)'!#REF!</definedName>
    <definedName name="cx">#REF!</definedName>
    <definedName name="d">#N/A</definedName>
    <definedName name="dam">78000</definedName>
    <definedName name="data" localSheetId="2">'NF-2200-PID-01'!#REF!</definedName>
    <definedName name="data" localSheetId="4">'PID-0101'!#REF!</definedName>
    <definedName name="data" localSheetId="5">'PID-0101 (2)'!#REF!</definedName>
    <definedName name="data">#REF!</definedName>
    <definedName name="_xlnm.Database" localSheetId="2">'NF-2200-PID-01'!#REF!</definedName>
    <definedName name="_xlnm.Database" localSheetId="4">'PID-0101'!#REF!</definedName>
    <definedName name="_xlnm.Database" localSheetId="5">'PID-0101 (2)'!#REF!</definedName>
    <definedName name="_xlnm.Database">#REF!</definedName>
    <definedName name="den_bu" localSheetId="2">'NF-2200-PID-01'!#REF!</definedName>
    <definedName name="den_bu" localSheetId="4">'PID-0101'!#REF!</definedName>
    <definedName name="den_bu" localSheetId="5">'PID-0101 (2)'!#REF!</definedName>
    <definedName name="den_bu">#REF!</definedName>
    <definedName name="denbu" localSheetId="2">'NF-2200-PID-01'!#REF!</definedName>
    <definedName name="denbu" localSheetId="4">'PID-0101'!#REF!</definedName>
    <definedName name="denbu" localSheetId="5">'PID-0101 (2)'!#REF!</definedName>
    <definedName name="denbu">#REF!</definedName>
    <definedName name="df" localSheetId="2">'NF-2200-PID-01'!#REF!</definedName>
    <definedName name="df" localSheetId="4">'PID-0101'!#REF!</definedName>
    <definedName name="df" localSheetId="5">'PID-0101 (2)'!#REF!</definedName>
    <definedName name="df">#REF!</definedName>
    <definedName name="DGCTI592" localSheetId="2">'NF-2200-PID-01'!#REF!</definedName>
    <definedName name="DGCTI592" localSheetId="4">'PID-0101'!#REF!</definedName>
    <definedName name="DGCTI592" localSheetId="5">'PID-0101 (2)'!#REF!</definedName>
    <definedName name="DGCTI592">#REF!</definedName>
    <definedName name="dgdg">#N/A</definedName>
    <definedName name="dhom" localSheetId="2">'NF-2200-PID-01'!#REF!</definedName>
    <definedName name="dhom" localSheetId="4">'PID-0101'!#REF!</definedName>
    <definedName name="dhom" localSheetId="5">'PID-0101 (2)'!#REF!</definedName>
    <definedName name="dhom">#REF!</definedName>
    <definedName name="DIS" localSheetId="2">'NF-2200-PID-01'!#REF!</definedName>
    <definedName name="DIS" localSheetId="4">'PID-0101'!#REF!</definedName>
    <definedName name="DIS" localSheetId="5">'PID-0101 (2)'!#REF!</definedName>
    <definedName name="DIS">#REF!</definedName>
    <definedName name="DSUMDATA" localSheetId="2">'NF-2200-PID-01'!#REF!</definedName>
    <definedName name="DSUMDATA" localSheetId="4">'PID-0101'!#REF!</definedName>
    <definedName name="DSUMDATA" localSheetId="5">'PID-0101 (2)'!#REF!</definedName>
    <definedName name="DSUMDATA">#REF!</definedName>
    <definedName name="duoi" localSheetId="2">'NF-2200-PID-01'!#REF!</definedName>
    <definedName name="duoi" localSheetId="4">'PID-0101'!#REF!</definedName>
    <definedName name="duoi" localSheetId="5">'PID-0101 (2)'!#REF!</definedName>
    <definedName name="duoi">#REF!</definedName>
    <definedName name="DutoanDongmo" localSheetId="2">'NF-2200-PID-01'!#REF!</definedName>
    <definedName name="DutoanDongmo" localSheetId="4">'PID-0101'!#REF!</definedName>
    <definedName name="DutoanDongmo" localSheetId="5">'PID-0101 (2)'!#REF!</definedName>
    <definedName name="DutoanDongmo">#REF!</definedName>
    <definedName name="dvbdgf">#N/A</definedName>
    <definedName name="dw" localSheetId="2">'NF-2200-PID-01'!#REF!</definedName>
    <definedName name="dw" localSheetId="4">'PID-0101'!#REF!</definedName>
    <definedName name="dw" localSheetId="5">'PID-0101 (2)'!#REF!</definedName>
    <definedName name="dw">#REF!</definedName>
    <definedName name="e">#N/A</definedName>
    <definedName name="EF" localSheetId="2">'NF-2200-PID-01'!#REF!</definedName>
    <definedName name="EF" localSheetId="4">'PID-0101'!#REF!</definedName>
    <definedName name="EF" localSheetId="5">'PID-0101 (2)'!#REF!</definedName>
    <definedName name="EF">#REF!</definedName>
    <definedName name="End_1" localSheetId="2">'NF-2200-PID-01'!#REF!</definedName>
    <definedName name="End_1" localSheetId="4">'PID-0101'!#REF!</definedName>
    <definedName name="End_1" localSheetId="5">'PID-0101 (2)'!#REF!</definedName>
    <definedName name="End_1">#REF!</definedName>
    <definedName name="End_10" localSheetId="2">'NF-2200-PID-01'!#REF!</definedName>
    <definedName name="End_10" localSheetId="4">'PID-0101'!#REF!</definedName>
    <definedName name="End_10" localSheetId="5">'PID-0101 (2)'!#REF!</definedName>
    <definedName name="End_10">#REF!</definedName>
    <definedName name="End_11" localSheetId="2">'NF-2200-PID-01'!#REF!</definedName>
    <definedName name="End_11" localSheetId="4">'PID-0101'!#REF!</definedName>
    <definedName name="End_11" localSheetId="5">'PID-0101 (2)'!#REF!</definedName>
    <definedName name="End_11">#REF!</definedName>
    <definedName name="End_12" localSheetId="2">'NF-2200-PID-01'!#REF!</definedName>
    <definedName name="End_12" localSheetId="4">'PID-0101'!#REF!</definedName>
    <definedName name="End_12" localSheetId="5">'PID-0101 (2)'!#REF!</definedName>
    <definedName name="End_12">#REF!</definedName>
    <definedName name="End_13" localSheetId="2">'NF-2200-PID-01'!#REF!</definedName>
    <definedName name="End_13" localSheetId="4">'PID-0101'!#REF!</definedName>
    <definedName name="End_13" localSheetId="5">'PID-0101 (2)'!#REF!</definedName>
    <definedName name="End_13">#REF!</definedName>
    <definedName name="End_2" localSheetId="2">'NF-2200-PID-01'!#REF!</definedName>
    <definedName name="End_2" localSheetId="4">'PID-0101'!#REF!</definedName>
    <definedName name="End_2" localSheetId="5">'PID-0101 (2)'!#REF!</definedName>
    <definedName name="End_2">#REF!</definedName>
    <definedName name="End_3" localSheetId="2">'NF-2200-PID-01'!#REF!</definedName>
    <definedName name="End_3" localSheetId="4">'PID-0101'!#REF!</definedName>
    <definedName name="End_3" localSheetId="5">'PID-0101 (2)'!#REF!</definedName>
    <definedName name="End_3">#REF!</definedName>
    <definedName name="End_4" localSheetId="2">'NF-2200-PID-01'!#REF!</definedName>
    <definedName name="End_4" localSheetId="4">'PID-0101'!#REF!</definedName>
    <definedName name="End_4" localSheetId="5">'PID-0101 (2)'!#REF!</definedName>
    <definedName name="End_4">#REF!</definedName>
    <definedName name="End_5" localSheetId="2">'NF-2200-PID-01'!#REF!</definedName>
    <definedName name="End_5" localSheetId="4">'PID-0101'!#REF!</definedName>
    <definedName name="End_5" localSheetId="5">'PID-0101 (2)'!#REF!</definedName>
    <definedName name="End_5">#REF!</definedName>
    <definedName name="End_6" localSheetId="2">'NF-2200-PID-01'!#REF!</definedName>
    <definedName name="End_6" localSheetId="4">'PID-0101'!#REF!</definedName>
    <definedName name="End_6" localSheetId="5">'PID-0101 (2)'!#REF!</definedName>
    <definedName name="End_6">#REF!</definedName>
    <definedName name="End_7" localSheetId="2">'NF-2200-PID-01'!#REF!</definedName>
    <definedName name="End_7" localSheetId="4">'PID-0101'!#REF!</definedName>
    <definedName name="End_7" localSheetId="5">'PID-0101 (2)'!#REF!</definedName>
    <definedName name="End_7">#REF!</definedName>
    <definedName name="End_8" localSheetId="2">'NF-2200-PID-01'!#REF!</definedName>
    <definedName name="End_8" localSheetId="4">'PID-0101'!#REF!</definedName>
    <definedName name="End_8" localSheetId="5">'PID-0101 (2)'!#REF!</definedName>
    <definedName name="End_8">#REF!</definedName>
    <definedName name="End_9" localSheetId="2">'NF-2200-PID-01'!#REF!</definedName>
    <definedName name="End_9" localSheetId="4">'PID-0101'!#REF!</definedName>
    <definedName name="End_9" localSheetId="5">'PID-0101 (2)'!#REF!</definedName>
    <definedName name="End_9">#REF!</definedName>
    <definedName name="EX" localSheetId="2">'NF-2200-PID-01'!#REF!</definedName>
    <definedName name="EX" localSheetId="4">'PID-0101'!#REF!</definedName>
    <definedName name="EX" localSheetId="5">'PID-0101 (2)'!#REF!</definedName>
    <definedName name="EX">#REF!</definedName>
    <definedName name="EXC" localSheetId="2">'NF-2200-PID-01'!#REF!</definedName>
    <definedName name="EXC" localSheetId="4">'PID-0101'!#REF!</definedName>
    <definedName name="EXC" localSheetId="5">'PID-0101 (2)'!#REF!</definedName>
    <definedName name="EXC">#REF!</definedName>
    <definedName name="Excel_BuiltIn_Print_Area" localSheetId="2">'NF-2200-PID-01'!#REF!</definedName>
    <definedName name="Excel_BuiltIn_Print_Area" localSheetId="4">'PID-0101'!#REF!</definedName>
    <definedName name="Excel_BuiltIn_Print_Area" localSheetId="5">'PID-0101 (2)'!#REF!</definedName>
    <definedName name="Excel_BuiltIn_Print_Area">#REF!</definedName>
    <definedName name="Excel_BuiltIn_Print_Area_1" localSheetId="2">'NF-2200-PID-01'!#REF!</definedName>
    <definedName name="Excel_BuiltIn_Print_Area_1" localSheetId="4">'PID-0101'!#REF!</definedName>
    <definedName name="Excel_BuiltIn_Print_Area_1" localSheetId="5">'PID-0101 (2)'!#REF!</definedName>
    <definedName name="Excel_BuiltIn_Print_Area_1">#REF!</definedName>
    <definedName name="Excel_BuiltIn_Print_Area_2" localSheetId="2">'NF-2200-PID-01'!#REF!</definedName>
    <definedName name="Excel_BuiltIn_Print_Area_2" localSheetId="4">'PID-0101'!#REF!</definedName>
    <definedName name="Excel_BuiltIn_Print_Area_2" localSheetId="5">'PID-0101 (2)'!#REF!</definedName>
    <definedName name="Excel_BuiltIn_Print_Area_2">#REF!</definedName>
    <definedName name="Excel_BuiltIn_Print_Area_3" localSheetId="2">'NF-2200-PID-01'!#REF!</definedName>
    <definedName name="Excel_BuiltIn_Print_Area_3" localSheetId="4">'PID-0101'!#REF!</definedName>
    <definedName name="Excel_BuiltIn_Print_Area_3" localSheetId="5">'PID-0101 (2)'!#REF!</definedName>
    <definedName name="Excel_BuiltIn_Print_Area_3">#REF!</definedName>
    <definedName name="EXCH" localSheetId="2">'NF-2200-PID-01'!#REF!</definedName>
    <definedName name="EXCH" localSheetId="4">'PID-0101'!#REF!</definedName>
    <definedName name="EXCH" localSheetId="5">'PID-0101 (2)'!#REF!</definedName>
    <definedName name="EXCH">#REF!</definedName>
    <definedName name="_xlnm.Extract" localSheetId="2">'NF-2200-PID-01'!#REF!</definedName>
    <definedName name="_xlnm.Extract" localSheetId="4">'PID-0101'!#REF!</definedName>
    <definedName name="_xlnm.Extract" localSheetId="5">'PID-0101 (2)'!#REF!</definedName>
    <definedName name="_xlnm.Extract">#REF!</definedName>
    <definedName name="f">#N/A</definedName>
    <definedName name="FAXNO" localSheetId="2">'NF-2200-PID-01'!#REF!</definedName>
    <definedName name="FAXNO" localSheetId="4">'PID-0101'!#REF!</definedName>
    <definedName name="FAXNO" localSheetId="5">'PID-0101 (2)'!#REF!</definedName>
    <definedName name="FAXNO">#REF!</definedName>
    <definedName name="FC5_total" localSheetId="2">'NF-2200-PID-01'!#REF!</definedName>
    <definedName name="FC5_total" localSheetId="4">'PID-0101'!#REF!</definedName>
    <definedName name="FC5_total" localSheetId="5">'PID-0101 (2)'!#REF!</definedName>
    <definedName name="FC5_total">#REF!</definedName>
    <definedName name="FC6_total" localSheetId="2">'NF-2200-PID-01'!#REF!</definedName>
    <definedName name="FC6_total" localSheetId="4">'PID-0101'!#REF!</definedName>
    <definedName name="FC6_total" localSheetId="5">'PID-0101 (2)'!#REF!</definedName>
    <definedName name="FC6_total">#REF!</definedName>
    <definedName name="fdgerg">#N/A</definedName>
    <definedName name="fgdfg">#N/A</definedName>
    <definedName name="fghjgf">#N/A</definedName>
    <definedName name="g">#N/A</definedName>
    <definedName name="gfg">#N/A</definedName>
    <definedName name="gfhgfh">#N/A</definedName>
    <definedName name="gfhgh">#N/A</definedName>
    <definedName name="gfhjgfh">#N/A</definedName>
    <definedName name="gfhngfhn">#N/A</definedName>
    <definedName name="gfhnjgfh">#N/A</definedName>
    <definedName name="gfhnjgfhn">#N/A</definedName>
    <definedName name="gfjgh">#N/A</definedName>
    <definedName name="gfjghj">#N/A</definedName>
    <definedName name="gfn">#N/A</definedName>
    <definedName name="gfnf">#N/A</definedName>
    <definedName name="gfngfn">#N/A</definedName>
    <definedName name="ggf">#N/A</definedName>
    <definedName name="gh">#N/A</definedName>
    <definedName name="ghgf">#N/A</definedName>
    <definedName name="ghgfh">#N/A</definedName>
    <definedName name="ghhgj">#N/A</definedName>
    <definedName name="ghip" localSheetId="2">'NF-2200-PID-01'!#REF!</definedName>
    <definedName name="ghip" localSheetId="4">'PID-0101'!#REF!</definedName>
    <definedName name="ghip" localSheetId="5">'PID-0101 (2)'!#REF!</definedName>
    <definedName name="ghip">#REF!</definedName>
    <definedName name="ghj">#N/A</definedName>
    <definedName name="ghjghj">#N/A</definedName>
    <definedName name="ghjk">#N/A</definedName>
    <definedName name="gia" localSheetId="2">'NF-2200-PID-01'!#REF!</definedName>
    <definedName name="gia" localSheetId="4">'PID-0101'!#REF!</definedName>
    <definedName name="gia" localSheetId="5">'PID-0101 (2)'!#REF!</definedName>
    <definedName name="gia">#REF!</definedName>
    <definedName name="gia_tien" localSheetId="2">'NF-2200-PID-01'!#REF!</definedName>
    <definedName name="gia_tien" localSheetId="4">'PID-0101'!#REF!</definedName>
    <definedName name="gia_tien" localSheetId="5">'PID-0101 (2)'!#REF!</definedName>
    <definedName name="gia_tien">#REF!</definedName>
    <definedName name="gia_tien_BTN" localSheetId="2">'NF-2200-PID-01'!#REF!</definedName>
    <definedName name="gia_tien_BTN" localSheetId="4">'PID-0101'!#REF!</definedName>
    <definedName name="gia_tien_BTN" localSheetId="5">'PID-0101 (2)'!#REF!</definedName>
    <definedName name="gia_tien_BTN">#REF!</definedName>
    <definedName name="gt" localSheetId="2">'NF-2200-PID-01'!#REF!</definedName>
    <definedName name="gt" localSheetId="4">'PID-0101'!#REF!</definedName>
    <definedName name="gt" localSheetId="5">'PID-0101 (2)'!#REF!</definedName>
    <definedName name="gt">#REF!</definedName>
    <definedName name="h">#N/A</definedName>
    <definedName name="hdfh">#N/A</definedName>
    <definedName name="HF" localSheetId="2">'NF-2200-PID-01'!#REF!</definedName>
    <definedName name="HF" localSheetId="4">'PID-0101'!#REF!</definedName>
    <definedName name="HF" localSheetId="5">'PID-0101 (2)'!#REF!</definedName>
    <definedName name="HF">#REF!</definedName>
    <definedName name="hfdhgfhn">#N/A</definedName>
    <definedName name="hg">#N/A</definedName>
    <definedName name="hgfhgf">#N/A</definedName>
    <definedName name="hghj">#N/A</definedName>
    <definedName name="hgjghj">#N/A</definedName>
    <definedName name="HHcat" localSheetId="2">'NF-2200-PID-01'!#REF!</definedName>
    <definedName name="HHcat" localSheetId="4">'PID-0101'!#REF!</definedName>
    <definedName name="HHcat" localSheetId="5">'PID-0101 (2)'!#REF!</definedName>
    <definedName name="HHcat">#REF!</definedName>
    <definedName name="HHda" localSheetId="2">'NF-2200-PID-01'!#REF!</definedName>
    <definedName name="HHda" localSheetId="4">'PID-0101'!#REF!</definedName>
    <definedName name="HHda" localSheetId="5">'PID-0101 (2)'!#REF!</definedName>
    <definedName name="HHda">#REF!</definedName>
    <definedName name="HHxm" localSheetId="2">'NF-2200-PID-01'!#REF!</definedName>
    <definedName name="HHxm" localSheetId="4">'PID-0101'!#REF!</definedName>
    <definedName name="HHxm" localSheetId="5">'PID-0101 (2)'!#REF!</definedName>
    <definedName name="HHxm">#REF!</definedName>
    <definedName name="hien" localSheetId="2">'NF-2200-PID-01'!#REF!</definedName>
    <definedName name="hien" localSheetId="4">'PID-0101'!#REF!</definedName>
    <definedName name="hien" localSheetId="5">'PID-0101 (2)'!#REF!</definedName>
    <definedName name="hien">#REF!</definedName>
    <definedName name="hjfgh">#N/A</definedName>
    <definedName name="hjgfh">#N/A</definedName>
    <definedName name="hjgfhd">#N/A</definedName>
    <definedName name="hjghjh">#N/A</definedName>
    <definedName name="hjhgjh">#N/A</definedName>
    <definedName name="hngf">#N/A</definedName>
    <definedName name="hoc">55000</definedName>
    <definedName name="HOME_MANP" localSheetId="2">'NF-2200-PID-01'!#REF!</definedName>
    <definedName name="HOME_MANP" localSheetId="4">'PID-0101'!#REF!</definedName>
    <definedName name="HOME_MANP" localSheetId="5">'PID-0101 (2)'!#REF!</definedName>
    <definedName name="HOME_MANP">#REF!</definedName>
    <definedName name="HOMEOFFICE_COST" localSheetId="2">'NF-2200-PID-01'!#REF!</definedName>
    <definedName name="HOMEOFFICE_COST" localSheetId="4">'PID-0101'!#REF!</definedName>
    <definedName name="HOMEOFFICE_COST" localSheetId="5">'PID-0101 (2)'!#REF!</definedName>
    <definedName name="HOMEOFFICE_COST">#REF!</definedName>
    <definedName name="hrth">#N/A</definedName>
    <definedName name="hßm4" localSheetId="2">'NF-2200-PID-01'!#REF!</definedName>
    <definedName name="hßm4" localSheetId="4">'PID-0101'!#REF!</definedName>
    <definedName name="hßm4" localSheetId="5">'PID-0101 (2)'!#REF!</definedName>
    <definedName name="hßm4">#REF!</definedName>
    <definedName name="HTML_CodePage" hidden="1">950</definedName>
    <definedName name="HTML_Control" localSheetId="3"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rh">#N/A</definedName>
    <definedName name="huy" localSheetId="3" hidden="1">{"'Sheet1'!$L$16"}</definedName>
    <definedName name="huy" hidden="1">{"'Sheet1'!$L$16"}</definedName>
    <definedName name="i">#N/A</definedName>
    <definedName name="IDLAB_COST" localSheetId="2">'NF-2200-PID-01'!#REF!</definedName>
    <definedName name="IDLAB_COST" localSheetId="4">'PID-0101'!#REF!</definedName>
    <definedName name="IDLAB_COST" localSheetId="5">'PID-0101 (2)'!#REF!</definedName>
    <definedName name="IDLAB_COST">#REF!</definedName>
    <definedName name="ik">#N/A</definedName>
    <definedName name="in" localSheetId="2">'NF-2200-PID-01'!#REF!</definedName>
    <definedName name="in" localSheetId="4">'PID-0101'!#REF!</definedName>
    <definedName name="in" localSheetId="5">'PID-0101 (2)'!#REF!</definedName>
    <definedName name="in">#REF!</definedName>
    <definedName name="INDMANP" localSheetId="2">'NF-2200-PID-01'!#REF!</definedName>
    <definedName name="INDMANP" localSheetId="4">'PID-0101'!#REF!</definedName>
    <definedName name="INDMANP" localSheetId="5">'PID-0101 (2)'!#REF!</definedName>
    <definedName name="INDMANP">#REF!</definedName>
    <definedName name="j">#N/A</definedName>
    <definedName name="jgfhngfn">#N/A</definedName>
    <definedName name="jgh">#N/A</definedName>
    <definedName name="jghjkh">#N/A</definedName>
    <definedName name="jghkgk">#N/A</definedName>
    <definedName name="jh">#N/A</definedName>
    <definedName name="jhkhjk">#N/A</definedName>
    <definedName name="jhkhjm">#N/A</definedName>
    <definedName name="jjjjkyu">#N/A</definedName>
    <definedName name="jkghkj">#N/A</definedName>
    <definedName name="k">#N/A</definedName>
    <definedName name="kaori" localSheetId="2">'NF-2200-PID-01'!#REF!</definedName>
    <definedName name="kaori" localSheetId="4">'PID-0101'!#REF!</definedName>
    <definedName name="kaori" localSheetId="5">'PID-0101 (2)'!#REF!</definedName>
    <definedName name="kaori">#REF!</definedName>
    <definedName name="kazuyo" localSheetId="2">'NF-2200-PID-01'!#REF!</definedName>
    <definedName name="kazuyo" localSheetId="4">'PID-0101'!#REF!</definedName>
    <definedName name="kazuyo" localSheetId="5">'PID-0101 (2)'!#REF!</definedName>
    <definedName name="kazuyo">#REF!</definedName>
    <definedName name="kcong" localSheetId="2">'NF-2200-PID-01'!#REF!</definedName>
    <definedName name="kcong" localSheetId="4">'PID-0101'!#REF!</definedName>
    <definedName name="kcong" localSheetId="5">'PID-0101 (2)'!#REF!</definedName>
    <definedName name="kcong">#REF!</definedName>
    <definedName name="khac">2</definedName>
    <definedName name="khjk">#N/A</definedName>
    <definedName name="Kiem_tra_trung_ten" localSheetId="2">'NF-2200-PID-01'!#REF!</definedName>
    <definedName name="Kiem_tra_trung_ten" localSheetId="4">'PID-0101'!#REF!</definedName>
    <definedName name="Kiem_tra_trung_ten" localSheetId="5">'PID-0101 (2)'!#REF!</definedName>
    <definedName name="Kiem_tra_trung_ten">#REF!</definedName>
    <definedName name="l">#N/A</definedName>
    <definedName name="lan" localSheetId="2">'NF-2200-PID-01'!#REF!</definedName>
    <definedName name="lan" localSheetId="4">'PID-0101'!#REF!</definedName>
    <definedName name="lan" localSheetId="5">'PID-0101 (2)'!#REF!</definedName>
    <definedName name="lan">#REF!</definedName>
    <definedName name="LC5_total" localSheetId="2">'NF-2200-PID-01'!#REF!</definedName>
    <definedName name="LC5_total" localSheetId="4">'PID-0101'!#REF!</definedName>
    <definedName name="LC5_total" localSheetId="5">'PID-0101 (2)'!#REF!</definedName>
    <definedName name="LC5_total">#REF!</definedName>
    <definedName name="LC6_total" localSheetId="2">'NF-2200-PID-01'!#REF!</definedName>
    <definedName name="LC6_total" localSheetId="4">'PID-0101'!#REF!</definedName>
    <definedName name="LC6_total" localSheetId="5">'PID-0101 (2)'!#REF!</definedName>
    <definedName name="LC6_total">#REF!</definedName>
    <definedName name="LG" localSheetId="2">'NF-2200-PID-01'!#REF!</definedName>
    <definedName name="LG" localSheetId="4">'PID-0101'!#REF!</definedName>
    <definedName name="LG" localSheetId="5">'PID-0101 (2)'!#REF!</definedName>
    <definedName name="LG">#REF!</definedName>
    <definedName name="m">#N/A</definedName>
    <definedName name="MAJ_CON_EQP" localSheetId="2">'NF-2200-PID-01'!#REF!</definedName>
    <definedName name="MAJ_CON_EQP" localSheetId="4">'PID-0101'!#REF!</definedName>
    <definedName name="MAJ_CON_EQP" localSheetId="5">'PID-0101 (2)'!#REF!</definedName>
    <definedName name="MAJ_CON_EQP">#REF!</definedName>
    <definedName name="masaru" localSheetId="2">'NF-2200-PID-01'!#REF!</definedName>
    <definedName name="masaru" localSheetId="4">'PID-0101'!#REF!</definedName>
    <definedName name="masaru" localSheetId="5">'PID-0101 (2)'!#REF!</definedName>
    <definedName name="masaru">#REF!</definedName>
    <definedName name="may" localSheetId="2">'NF-2200-PID-01'!#REF!</definedName>
    <definedName name="may" localSheetId="4">'PID-0101'!#REF!</definedName>
    <definedName name="may" localSheetId="5">'PID-0101 (2)'!#REF!</definedName>
    <definedName name="may">#REF!</definedName>
    <definedName name="mayumi" localSheetId="2">'NF-2200-PID-01'!#REF!</definedName>
    <definedName name="mayumi" localSheetId="4">'PID-0101'!#REF!</definedName>
    <definedName name="mayumi" localSheetId="5">'PID-0101 (2)'!#REF!</definedName>
    <definedName name="mayumi">#REF!</definedName>
    <definedName name="mbangtai10" localSheetId="2">'NF-2200-PID-01'!#REF!</definedName>
    <definedName name="mbangtai10" localSheetId="4">'PID-0101'!#REF!</definedName>
    <definedName name="mbangtai10" localSheetId="5">'PID-0101 (2)'!#REF!</definedName>
    <definedName name="mbangtai10">#REF!</definedName>
    <definedName name="mbangtai100" localSheetId="2">'NF-2200-PID-01'!#REF!</definedName>
    <definedName name="mbangtai100" localSheetId="4">'PID-0101'!#REF!</definedName>
    <definedName name="mbangtai100" localSheetId="5">'PID-0101 (2)'!#REF!</definedName>
    <definedName name="mbangtai100">#REF!</definedName>
    <definedName name="mbangtai15" localSheetId="2">'NF-2200-PID-01'!#REF!</definedName>
    <definedName name="mbangtai15" localSheetId="4">'PID-0101'!#REF!</definedName>
    <definedName name="mbangtai15" localSheetId="5">'PID-0101 (2)'!#REF!</definedName>
    <definedName name="mbangtai15">#REF!</definedName>
    <definedName name="mbangtai150" localSheetId="2">'NF-2200-PID-01'!#REF!</definedName>
    <definedName name="mbangtai150" localSheetId="4">'PID-0101'!#REF!</definedName>
    <definedName name="mbangtai150" localSheetId="5">'PID-0101 (2)'!#REF!</definedName>
    <definedName name="mbangtai150">#REF!</definedName>
    <definedName name="mbangtai25" localSheetId="2">'NF-2200-PID-01'!#REF!</definedName>
    <definedName name="mbangtai25" localSheetId="4">'PID-0101'!#REF!</definedName>
    <definedName name="mbangtai25" localSheetId="5">'PID-0101 (2)'!#REF!</definedName>
    <definedName name="mbangtai25">#REF!</definedName>
    <definedName name="mbombtth50" localSheetId="2">'NF-2200-PID-01'!#REF!</definedName>
    <definedName name="mbombtth50" localSheetId="4">'PID-0101'!#REF!</definedName>
    <definedName name="mbombtth50" localSheetId="5">'PID-0101 (2)'!#REF!</definedName>
    <definedName name="mbombtth50">#REF!</definedName>
    <definedName name="mbombtth60" localSheetId="2">'NF-2200-PID-01'!#REF!</definedName>
    <definedName name="mbombtth60" localSheetId="4">'PID-0101'!#REF!</definedName>
    <definedName name="mbombtth60" localSheetId="5">'PID-0101 (2)'!#REF!</definedName>
    <definedName name="mbombtth60">#REF!</definedName>
    <definedName name="mbomdien0.55" localSheetId="2">'NF-2200-PID-01'!#REF!</definedName>
    <definedName name="mbomdien0.55" localSheetId="4">'PID-0101'!#REF!</definedName>
    <definedName name="mbomdien0.55" localSheetId="5">'PID-0101 (2)'!#REF!</definedName>
    <definedName name="mbomdien0.55">#REF!</definedName>
    <definedName name="mbomdien0.75" localSheetId="2">'NF-2200-PID-01'!#REF!</definedName>
    <definedName name="mbomdien0.75" localSheetId="4">'PID-0101'!#REF!</definedName>
    <definedName name="mbomdien0.75" localSheetId="5">'PID-0101 (2)'!#REF!</definedName>
    <definedName name="mbomdien0.75">#REF!</definedName>
    <definedName name="mbomdien1.1" localSheetId="2">'NF-2200-PID-01'!#REF!</definedName>
    <definedName name="mbomdien1.1" localSheetId="4">'PID-0101'!#REF!</definedName>
    <definedName name="mbomdien1.1" localSheetId="5">'PID-0101 (2)'!#REF!</definedName>
    <definedName name="mbomdien1.1">#REF!</definedName>
    <definedName name="mbomdien1.5" localSheetId="2">'NF-2200-PID-01'!#REF!</definedName>
    <definedName name="mbomdien1.5" localSheetId="4">'PID-0101'!#REF!</definedName>
    <definedName name="mbomdien1.5" localSheetId="5">'PID-0101 (2)'!#REF!</definedName>
    <definedName name="mbomdien1.5">#REF!</definedName>
    <definedName name="mbomdien10" localSheetId="2">'NF-2200-PID-01'!#REF!</definedName>
    <definedName name="mbomdien10" localSheetId="4">'PID-0101'!#REF!</definedName>
    <definedName name="mbomdien10" localSheetId="5">'PID-0101 (2)'!#REF!</definedName>
    <definedName name="mbomdien10">#REF!</definedName>
    <definedName name="mbomdien113" localSheetId="2">'NF-2200-PID-01'!#REF!</definedName>
    <definedName name="mbomdien113" localSheetId="4">'PID-0101'!#REF!</definedName>
    <definedName name="mbomdien113" localSheetId="5">'PID-0101 (2)'!#REF!</definedName>
    <definedName name="mbomdien113">#REF!</definedName>
    <definedName name="mbomdien14" localSheetId="2">'NF-2200-PID-01'!#REF!</definedName>
    <definedName name="mbomdien14" localSheetId="4">'PID-0101'!#REF!</definedName>
    <definedName name="mbomdien14" localSheetId="5">'PID-0101 (2)'!#REF!</definedName>
    <definedName name="mbomdien14">#REF!</definedName>
    <definedName name="mbomdien2" localSheetId="2">'NF-2200-PID-01'!#REF!</definedName>
    <definedName name="mbomdien2" localSheetId="4">'PID-0101'!#REF!</definedName>
    <definedName name="mbomdien2" localSheetId="5">'PID-0101 (2)'!#REF!</definedName>
    <definedName name="mbomdien2">#REF!</definedName>
    <definedName name="mbomdien2.8" localSheetId="2">'NF-2200-PID-01'!#REF!</definedName>
    <definedName name="mbomdien2.8" localSheetId="4">'PID-0101'!#REF!</definedName>
    <definedName name="mbomdien2.8" localSheetId="5">'PID-0101 (2)'!#REF!</definedName>
    <definedName name="mbomdien2.8">#REF!</definedName>
    <definedName name="mbomdien20" localSheetId="2">'NF-2200-PID-01'!#REF!</definedName>
    <definedName name="mbomdien20" localSheetId="4">'PID-0101'!#REF!</definedName>
    <definedName name="mbomdien20" localSheetId="5">'PID-0101 (2)'!#REF!</definedName>
    <definedName name="mbomdien20">#REF!</definedName>
    <definedName name="mbomdien22" localSheetId="2">'NF-2200-PID-01'!#REF!</definedName>
    <definedName name="mbomdien22" localSheetId="4">'PID-0101'!#REF!</definedName>
    <definedName name="mbomdien22" localSheetId="5">'PID-0101 (2)'!#REF!</definedName>
    <definedName name="mbomdien22">#REF!</definedName>
    <definedName name="mbomdien28" localSheetId="2">'NF-2200-PID-01'!#REF!</definedName>
    <definedName name="mbomdien28" localSheetId="4">'PID-0101'!#REF!</definedName>
    <definedName name="mbomdien28" localSheetId="5">'PID-0101 (2)'!#REF!</definedName>
    <definedName name="mbomdien28">#REF!</definedName>
    <definedName name="mbomdien30" localSheetId="2">'NF-2200-PID-01'!#REF!</definedName>
    <definedName name="mbomdien30" localSheetId="4">'PID-0101'!#REF!</definedName>
    <definedName name="mbomdien30" localSheetId="5">'PID-0101 (2)'!#REF!</definedName>
    <definedName name="mbomdien30">#REF!</definedName>
    <definedName name="mbomdien4" localSheetId="2">'NF-2200-PID-01'!#REF!</definedName>
    <definedName name="mbomdien4" localSheetId="4">'PID-0101'!#REF!</definedName>
    <definedName name="mbomdien4" localSheetId="5">'PID-0101 (2)'!#REF!</definedName>
    <definedName name="mbomdien4">#REF!</definedName>
    <definedName name="mbomdien4.5" localSheetId="2">'NF-2200-PID-01'!#REF!</definedName>
    <definedName name="mbomdien4.5" localSheetId="4">'PID-0101'!#REF!</definedName>
    <definedName name="mbomdien4.5" localSheetId="5">'PID-0101 (2)'!#REF!</definedName>
    <definedName name="mbomdien4.5">#REF!</definedName>
    <definedName name="mbomdien40" localSheetId="2">'NF-2200-PID-01'!#REF!</definedName>
    <definedName name="mbomdien40" localSheetId="4">'PID-0101'!#REF!</definedName>
    <definedName name="mbomdien40" localSheetId="5">'PID-0101 (2)'!#REF!</definedName>
    <definedName name="mbomdien40">#REF!</definedName>
    <definedName name="mbomdien50" localSheetId="2">'NF-2200-PID-01'!#REF!</definedName>
    <definedName name="mbomdien50" localSheetId="4">'PID-0101'!#REF!</definedName>
    <definedName name="mbomdien50" localSheetId="5">'PID-0101 (2)'!#REF!</definedName>
    <definedName name="mbomdien50">#REF!</definedName>
    <definedName name="mbomdien55" localSheetId="2">'NF-2200-PID-01'!#REF!</definedName>
    <definedName name="mbomdien55" localSheetId="4">'PID-0101'!#REF!</definedName>
    <definedName name="mbomdien55" localSheetId="5">'PID-0101 (2)'!#REF!</definedName>
    <definedName name="mbomdien55">#REF!</definedName>
    <definedName name="mbomdien7" localSheetId="2">'NF-2200-PID-01'!#REF!</definedName>
    <definedName name="mbomdien7" localSheetId="4">'PID-0101'!#REF!</definedName>
    <definedName name="mbomdien7" localSheetId="5">'PID-0101 (2)'!#REF!</definedName>
    <definedName name="mbomdien7">#REF!</definedName>
    <definedName name="mbomdien75" localSheetId="2">'NF-2200-PID-01'!#REF!</definedName>
    <definedName name="mbomdien75" localSheetId="4">'PID-0101'!#REF!</definedName>
    <definedName name="mbomdien75" localSheetId="5">'PID-0101 (2)'!#REF!</definedName>
    <definedName name="mbomdien75">#REF!</definedName>
    <definedName name="mbomth10" localSheetId="2">'NF-2200-PID-01'!#REF!</definedName>
    <definedName name="mbomth10" localSheetId="4">'PID-0101'!#REF!</definedName>
    <definedName name="mbomth10" localSheetId="5">'PID-0101 (2)'!#REF!</definedName>
    <definedName name="mbomth10">#REF!</definedName>
    <definedName name="mbomth100" localSheetId="2">'NF-2200-PID-01'!#REF!</definedName>
    <definedName name="mbomth100" localSheetId="4">'PID-0101'!#REF!</definedName>
    <definedName name="mbomth100" localSheetId="5">'PID-0101 (2)'!#REF!</definedName>
    <definedName name="mbomth100">#REF!</definedName>
    <definedName name="mbomth15" localSheetId="2">'NF-2200-PID-01'!#REF!</definedName>
    <definedName name="mbomth15" localSheetId="4">'PID-0101'!#REF!</definedName>
    <definedName name="mbomth15" localSheetId="5">'PID-0101 (2)'!#REF!</definedName>
    <definedName name="mbomth15">#REF!</definedName>
    <definedName name="mbomth150" localSheetId="2">'NF-2200-PID-01'!#REF!</definedName>
    <definedName name="mbomth150" localSheetId="4">'PID-0101'!#REF!</definedName>
    <definedName name="mbomth150" localSheetId="5">'PID-0101 (2)'!#REF!</definedName>
    <definedName name="mbomth150">#REF!</definedName>
    <definedName name="mbomth20" localSheetId="2">'NF-2200-PID-01'!#REF!</definedName>
    <definedName name="mbomth20" localSheetId="4">'PID-0101'!#REF!</definedName>
    <definedName name="mbomth20" localSheetId="5">'PID-0101 (2)'!#REF!</definedName>
    <definedName name="mbomth20">#REF!</definedName>
    <definedName name="mbomth37" localSheetId="2">'NF-2200-PID-01'!#REF!</definedName>
    <definedName name="mbomth37" localSheetId="4">'PID-0101'!#REF!</definedName>
    <definedName name="mbomth37" localSheetId="5">'PID-0101 (2)'!#REF!</definedName>
    <definedName name="mbomth37">#REF!</definedName>
    <definedName name="mbomth45" localSheetId="2">'NF-2200-PID-01'!#REF!</definedName>
    <definedName name="mbomth45" localSheetId="4">'PID-0101'!#REF!</definedName>
    <definedName name="mbomth45" localSheetId="5">'PID-0101 (2)'!#REF!</definedName>
    <definedName name="mbomth45">#REF!</definedName>
    <definedName name="mbomth5" localSheetId="2">'NF-2200-PID-01'!#REF!</definedName>
    <definedName name="mbomth5" localSheetId="4">'PID-0101'!#REF!</definedName>
    <definedName name="mbomth5" localSheetId="5">'PID-0101 (2)'!#REF!</definedName>
    <definedName name="mbomth5">#REF!</definedName>
    <definedName name="mbomth5.5" localSheetId="2">'NF-2200-PID-01'!#REF!</definedName>
    <definedName name="mbomth5.5" localSheetId="4">'PID-0101'!#REF!</definedName>
    <definedName name="mbomth5.5" localSheetId="5">'PID-0101 (2)'!#REF!</definedName>
    <definedName name="mbomth5.5">#REF!</definedName>
    <definedName name="mbomth7" localSheetId="2">'NF-2200-PID-01'!#REF!</definedName>
    <definedName name="mbomth7" localSheetId="4">'PID-0101'!#REF!</definedName>
    <definedName name="mbomth7" localSheetId="5">'PID-0101 (2)'!#REF!</definedName>
    <definedName name="mbomth7">#REF!</definedName>
    <definedName name="mbomth7.5" localSheetId="2">'NF-2200-PID-01'!#REF!</definedName>
    <definedName name="mbomth7.5" localSheetId="4">'PID-0101'!#REF!</definedName>
    <definedName name="mbomth7.5" localSheetId="5">'PID-0101 (2)'!#REF!</definedName>
    <definedName name="mbomth7.5">#REF!</definedName>
    <definedName name="mbomth75" localSheetId="2">'NF-2200-PID-01'!#REF!</definedName>
    <definedName name="mbomth75" localSheetId="4">'PID-0101'!#REF!</definedName>
    <definedName name="mbomth75" localSheetId="5">'PID-0101 (2)'!#REF!</definedName>
    <definedName name="mbomth75">#REF!</definedName>
    <definedName name="mbomthxang3" localSheetId="2">'NF-2200-PID-01'!#REF!</definedName>
    <definedName name="mbomthxang3" localSheetId="4">'PID-0101'!#REF!</definedName>
    <definedName name="mbomthxang3" localSheetId="5">'PID-0101 (2)'!#REF!</definedName>
    <definedName name="mbomthxang3">#REF!</definedName>
    <definedName name="mbomthxang4" localSheetId="2">'NF-2200-PID-01'!#REF!</definedName>
    <definedName name="mbomthxang4" localSheetId="4">'PID-0101'!#REF!</definedName>
    <definedName name="mbomthxang4" localSheetId="5">'PID-0101 (2)'!#REF!</definedName>
    <definedName name="mbomthxang4">#REF!</definedName>
    <definedName name="mbomthxang6" localSheetId="2">'NF-2200-PID-01'!#REF!</definedName>
    <definedName name="mbomthxang6" localSheetId="4">'PID-0101'!#REF!</definedName>
    <definedName name="mbomthxang6" localSheetId="5">'PID-0101 (2)'!#REF!</definedName>
    <definedName name="mbomthxang6">#REF!</definedName>
    <definedName name="mbomthxang7" localSheetId="2">'NF-2200-PID-01'!#REF!</definedName>
    <definedName name="mbomthxang7" localSheetId="4">'PID-0101'!#REF!</definedName>
    <definedName name="mbomthxang7" localSheetId="5">'PID-0101 (2)'!#REF!</definedName>
    <definedName name="mbomthxang7">#REF!</definedName>
    <definedName name="mbomthxang8" localSheetId="2">'NF-2200-PID-01'!#REF!</definedName>
    <definedName name="mbomthxang8" localSheetId="4">'PID-0101'!#REF!</definedName>
    <definedName name="mbomthxang8" localSheetId="5">'PID-0101 (2)'!#REF!</definedName>
    <definedName name="mbomthxang8">#REF!</definedName>
    <definedName name="mbomvua2" localSheetId="2">'NF-2200-PID-01'!#REF!</definedName>
    <definedName name="mbomvua2" localSheetId="4">'PID-0101'!#REF!</definedName>
    <definedName name="mbomvua2" localSheetId="5">'PID-0101 (2)'!#REF!</definedName>
    <definedName name="mbomvua2">#REF!</definedName>
    <definedName name="mbomvua4" localSheetId="2">'NF-2200-PID-01'!#REF!</definedName>
    <definedName name="mbomvua4" localSheetId="4">'PID-0101'!#REF!</definedName>
    <definedName name="mbomvua4" localSheetId="5">'PID-0101 (2)'!#REF!</definedName>
    <definedName name="mbomvua4">#REF!</definedName>
    <definedName name="mbomvua6" localSheetId="2">'NF-2200-PID-01'!#REF!</definedName>
    <definedName name="mbomvua6" localSheetId="4">'PID-0101'!#REF!</definedName>
    <definedName name="mbomvua6" localSheetId="5">'PID-0101 (2)'!#REF!</definedName>
    <definedName name="mbomvua6">#REF!</definedName>
    <definedName name="mbomvua9" localSheetId="2">'NF-2200-PID-01'!#REF!</definedName>
    <definedName name="mbomvua9" localSheetId="4">'PID-0101'!#REF!</definedName>
    <definedName name="mbomvua9" localSheetId="5">'PID-0101 (2)'!#REF!</definedName>
    <definedName name="mbomvua9">#REF!</definedName>
    <definedName name="mbuacankhi1.5" localSheetId="2">'NF-2200-PID-01'!#REF!</definedName>
    <definedName name="mbuacankhi1.5" localSheetId="4">'PID-0101'!#REF!</definedName>
    <definedName name="mbuacankhi1.5" localSheetId="5">'PID-0101 (2)'!#REF!</definedName>
    <definedName name="mbuacankhi1.5">#REF!</definedName>
    <definedName name="mbuadcocnoi2.5" localSheetId="2">'NF-2200-PID-01'!#REF!</definedName>
    <definedName name="mbuadcocnoi2.5" localSheetId="4">'PID-0101'!#REF!</definedName>
    <definedName name="mbuadcocnoi2.5" localSheetId="5">'PID-0101 (2)'!#REF!</definedName>
    <definedName name="mbuadcocnoi2.5">#REF!</definedName>
    <definedName name="mbuadray1.2" localSheetId="2">'NF-2200-PID-01'!#REF!</definedName>
    <definedName name="mbuadray1.2" localSheetId="4">'PID-0101'!#REF!</definedName>
    <definedName name="mbuadray1.2" localSheetId="5">'PID-0101 (2)'!#REF!</definedName>
    <definedName name="mbuadray1.2">#REF!</definedName>
    <definedName name="mbuadray1.8" localSheetId="2">'NF-2200-PID-01'!#REF!</definedName>
    <definedName name="mbuadray1.8" localSheetId="4">'PID-0101'!#REF!</definedName>
    <definedName name="mbuadray1.8" localSheetId="5">'PID-0101 (2)'!#REF!</definedName>
    <definedName name="mbuadray1.8">#REF!</definedName>
    <definedName name="mbuadray2.2" localSheetId="2">'NF-2200-PID-01'!#REF!</definedName>
    <definedName name="mbuadray2.2" localSheetId="4">'PID-0101'!#REF!</definedName>
    <definedName name="mbuadray2.2" localSheetId="5">'PID-0101 (2)'!#REF!</definedName>
    <definedName name="mbuadray2.2">#REF!</definedName>
    <definedName name="mbuadray2.5" localSheetId="2">'NF-2200-PID-01'!#REF!</definedName>
    <definedName name="mbuadray2.5" localSheetId="4">'PID-0101'!#REF!</definedName>
    <definedName name="mbuadray2.5" localSheetId="5">'PID-0101 (2)'!#REF!</definedName>
    <definedName name="mbuadray2.5">#REF!</definedName>
    <definedName name="mbuadray3.5" localSheetId="2">'NF-2200-PID-01'!#REF!</definedName>
    <definedName name="mbuadray3.5" localSheetId="4">'PID-0101'!#REF!</definedName>
    <definedName name="mbuadray3.5" localSheetId="5">'PID-0101 (2)'!#REF!</definedName>
    <definedName name="mbuadray3.5">#REF!</definedName>
    <definedName name="mbuarung170" localSheetId="2">'NF-2200-PID-01'!#REF!</definedName>
    <definedName name="mbuarung170" localSheetId="4">'PID-0101'!#REF!</definedName>
    <definedName name="mbuarung170" localSheetId="5">'PID-0101 (2)'!#REF!</definedName>
    <definedName name="mbuarung170">#REF!</definedName>
    <definedName name="mbuarung40" localSheetId="2">'NF-2200-PID-01'!#REF!</definedName>
    <definedName name="mbuarung40" localSheetId="4">'PID-0101'!#REF!</definedName>
    <definedName name="mbuarung40" localSheetId="5">'PID-0101 (2)'!#REF!</definedName>
    <definedName name="mbuarung40">#REF!</definedName>
    <definedName name="mbuarung50" localSheetId="2">'NF-2200-PID-01'!#REF!</definedName>
    <definedName name="mbuarung50" localSheetId="4">'PID-0101'!#REF!</definedName>
    <definedName name="mbuarung50" localSheetId="5">'PID-0101 (2)'!#REF!</definedName>
    <definedName name="mbuarung50">#REF!</definedName>
    <definedName name="mbuarungccatth60" localSheetId="2">'NF-2200-PID-01'!#REF!</definedName>
    <definedName name="mbuarungccatth60" localSheetId="4">'PID-0101'!#REF!</definedName>
    <definedName name="mbuarungccatth60" localSheetId="5">'PID-0101 (2)'!#REF!</definedName>
    <definedName name="mbuarungccatth60">#REF!</definedName>
    <definedName name="mbuathbx0.6" localSheetId="2">'NF-2200-PID-01'!#REF!</definedName>
    <definedName name="mbuathbx0.6" localSheetId="4">'PID-0101'!#REF!</definedName>
    <definedName name="mbuathbx0.6" localSheetId="5">'PID-0101 (2)'!#REF!</definedName>
    <definedName name="mbuathbx0.6">#REF!</definedName>
    <definedName name="mbuathbx1.2" localSheetId="2">'NF-2200-PID-01'!#REF!</definedName>
    <definedName name="mbuathbx1.2" localSheetId="4">'PID-0101'!#REF!</definedName>
    <definedName name="mbuathbx1.2" localSheetId="5">'PID-0101 (2)'!#REF!</definedName>
    <definedName name="mbuathbx1.2">#REF!</definedName>
    <definedName name="mbuathbx1.8" localSheetId="2">'NF-2200-PID-01'!#REF!</definedName>
    <definedName name="mbuathbx1.8" localSheetId="4">'PID-0101'!#REF!</definedName>
    <definedName name="mbuathbx1.8" localSheetId="5">'PID-0101 (2)'!#REF!</definedName>
    <definedName name="mbuathbx1.8">#REF!</definedName>
    <definedName name="mbuathbx3.5" localSheetId="2">'NF-2200-PID-01'!#REF!</definedName>
    <definedName name="mbuathbx3.5" localSheetId="4">'PID-0101'!#REF!</definedName>
    <definedName name="mbuathbx3.5" localSheetId="5">'PID-0101 (2)'!#REF!</definedName>
    <definedName name="mbuathbx3.5">#REF!</definedName>
    <definedName name="mbuathbx4.5" localSheetId="2">'NF-2200-PID-01'!#REF!</definedName>
    <definedName name="mbuathbx4.5" localSheetId="4">'PID-0101'!#REF!</definedName>
    <definedName name="mbuathbx4.5" localSheetId="5">'PID-0101 (2)'!#REF!</definedName>
    <definedName name="mbuathbx4.5">#REF!</definedName>
    <definedName name="mc" localSheetId="2">'NF-2200-PID-01'!#REF!</definedName>
    <definedName name="mc" localSheetId="4">'PID-0101'!#REF!</definedName>
    <definedName name="mc" localSheetId="5">'PID-0101 (2)'!#REF!</definedName>
    <definedName name="mc">#REF!</definedName>
    <definedName name="mcambactham1" localSheetId="2">'NF-2200-PID-01'!#REF!</definedName>
    <definedName name="mcambactham1" localSheetId="4">'PID-0101'!#REF!</definedName>
    <definedName name="mcambactham1" localSheetId="5">'PID-0101 (2)'!#REF!</definedName>
    <definedName name="mcambactham1">#REF!</definedName>
    <definedName name="mcano30" localSheetId="2">'NF-2200-PID-01'!#REF!</definedName>
    <definedName name="mcano30" localSheetId="4">'PID-0101'!#REF!</definedName>
    <definedName name="mcano30" localSheetId="5">'PID-0101 (2)'!#REF!</definedName>
    <definedName name="mcano30">#REF!</definedName>
    <definedName name="mcano75" localSheetId="2">'NF-2200-PID-01'!#REF!</definedName>
    <definedName name="mcano75" localSheetId="4">'PID-0101'!#REF!</definedName>
    <definedName name="mcano75" localSheetId="5">'PID-0101 (2)'!#REF!</definedName>
    <definedName name="mcano75">#REF!</definedName>
    <definedName name="mcap1g10" localSheetId="2">'NF-2200-PID-01'!#REF!</definedName>
    <definedName name="mcap1g10" localSheetId="4">'PID-0101'!#REF!</definedName>
    <definedName name="mcap1g10" localSheetId="5">'PID-0101 (2)'!#REF!</definedName>
    <definedName name="mcap1g10">#REF!</definedName>
    <definedName name="mcap1g16" localSheetId="2">'NF-2200-PID-01'!#REF!</definedName>
    <definedName name="mcap1g16" localSheetId="4">'PID-0101'!#REF!</definedName>
    <definedName name="mcap1g16" localSheetId="5">'PID-0101 (2)'!#REF!</definedName>
    <definedName name="mcap1g16">#REF!</definedName>
    <definedName name="mcap1g25" localSheetId="2">'NF-2200-PID-01'!#REF!</definedName>
    <definedName name="mcap1g25" localSheetId="4">'PID-0101'!#REF!</definedName>
    <definedName name="mcap1g25" localSheetId="5">'PID-0101 (2)'!#REF!</definedName>
    <definedName name="mcap1g25">#REF!</definedName>
    <definedName name="mcap1g9" localSheetId="2">'NF-2200-PID-01'!#REF!</definedName>
    <definedName name="mcap1g9" localSheetId="4">'PID-0101'!#REF!</definedName>
    <definedName name="mcap1g9" localSheetId="5">'PID-0101 (2)'!#REF!</definedName>
    <definedName name="mcap1g9">#REF!</definedName>
    <definedName name="mcatdot2.8" localSheetId="2">'NF-2200-PID-01'!#REF!</definedName>
    <definedName name="mcatdot2.8" localSheetId="4">'PID-0101'!#REF!</definedName>
    <definedName name="mcatdot2.8" localSheetId="5">'PID-0101 (2)'!#REF!</definedName>
    <definedName name="mcatdot2.8">#REF!</definedName>
    <definedName name="mcatong5" localSheetId="2">'NF-2200-PID-01'!#REF!</definedName>
    <definedName name="mcatong5" localSheetId="4">'PID-0101'!#REF!</definedName>
    <definedName name="mcatong5" localSheetId="5">'PID-0101 (2)'!#REF!</definedName>
    <definedName name="mcatong5">#REF!</definedName>
    <definedName name="mcatton15" localSheetId="2">'NF-2200-PID-01'!#REF!</definedName>
    <definedName name="mcatton15" localSheetId="4">'PID-0101'!#REF!</definedName>
    <definedName name="mcatton15" localSheetId="5">'PID-0101 (2)'!#REF!</definedName>
    <definedName name="mcatton15">#REF!</definedName>
    <definedName name="mcatuonthep5" localSheetId="2">'NF-2200-PID-01'!#REF!</definedName>
    <definedName name="mcatuonthep5" localSheetId="4">'PID-0101'!#REF!</definedName>
    <definedName name="mcatuonthep5" localSheetId="5">'PID-0101 (2)'!#REF!</definedName>
    <definedName name="mcatuonthep5">#REF!</definedName>
    <definedName name="mcaulongmon10" localSheetId="2">'NF-2200-PID-01'!#REF!</definedName>
    <definedName name="mcaulongmon10" localSheetId="4">'PID-0101'!#REF!</definedName>
    <definedName name="mcaulongmon10" localSheetId="5">'PID-0101 (2)'!#REF!</definedName>
    <definedName name="mcaulongmon10">#REF!</definedName>
    <definedName name="mcaulongmon30" localSheetId="2">'NF-2200-PID-01'!#REF!</definedName>
    <definedName name="mcaulongmon30" localSheetId="4">'PID-0101'!#REF!</definedName>
    <definedName name="mcaulongmon30" localSheetId="5">'PID-0101 (2)'!#REF!</definedName>
    <definedName name="mcaulongmon30">#REF!</definedName>
    <definedName name="mcaulongmon60" localSheetId="2">'NF-2200-PID-01'!#REF!</definedName>
    <definedName name="mcaulongmon60" localSheetId="4">'PID-0101'!#REF!</definedName>
    <definedName name="mcaulongmon60" localSheetId="5">'PID-0101 (2)'!#REF!</definedName>
    <definedName name="mcaulongmon60">#REF!</definedName>
    <definedName name="mcauray20" localSheetId="2">'NF-2200-PID-01'!#REF!</definedName>
    <definedName name="mcauray20" localSheetId="4">'PID-0101'!#REF!</definedName>
    <definedName name="mcauray20" localSheetId="5">'PID-0101 (2)'!#REF!</definedName>
    <definedName name="mcauray20">#REF!</definedName>
    <definedName name="mcauray25" localSheetId="2">'NF-2200-PID-01'!#REF!</definedName>
    <definedName name="mcauray25" localSheetId="4">'PID-0101'!#REF!</definedName>
    <definedName name="mcauray25" localSheetId="5">'PID-0101 (2)'!#REF!</definedName>
    <definedName name="mcauray25">#REF!</definedName>
    <definedName name="mcayxoidk108" localSheetId="2">'NF-2200-PID-01'!#REF!</definedName>
    <definedName name="mcayxoidk108" localSheetId="4">'PID-0101'!#REF!</definedName>
    <definedName name="mcayxoidk108" localSheetId="5">'PID-0101 (2)'!#REF!</definedName>
    <definedName name="mcayxoidk108">#REF!</definedName>
    <definedName name="mcayxoidk60" localSheetId="2">'NF-2200-PID-01'!#REF!</definedName>
    <definedName name="mcayxoidk60" localSheetId="4">'PID-0101'!#REF!</definedName>
    <definedName name="mcayxoidk60" localSheetId="5">'PID-0101 (2)'!#REF!</definedName>
    <definedName name="mcayxoidk60">#REF!</definedName>
    <definedName name="mcayxoidk80" localSheetId="2">'NF-2200-PID-01'!#REF!</definedName>
    <definedName name="mcayxoidk80" localSheetId="4">'PID-0101'!#REF!</definedName>
    <definedName name="mcayxoidk80" localSheetId="5">'PID-0101 (2)'!#REF!</definedName>
    <definedName name="mcayxoidk80">#REF!</definedName>
    <definedName name="mccaubh10" localSheetId="2">'NF-2200-PID-01'!#REF!</definedName>
    <definedName name="mccaubh10" localSheetId="4">'PID-0101'!#REF!</definedName>
    <definedName name="mccaubh10" localSheetId="5">'PID-0101 (2)'!#REF!</definedName>
    <definedName name="mccaubh10">#REF!</definedName>
    <definedName name="mccaubh16" localSheetId="2">'NF-2200-PID-01'!#REF!</definedName>
    <definedName name="mccaubh16" localSheetId="4">'PID-0101'!#REF!</definedName>
    <definedName name="mccaubh16" localSheetId="5">'PID-0101 (2)'!#REF!</definedName>
    <definedName name="mccaubh16">#REF!</definedName>
    <definedName name="mccaubh25" localSheetId="2">'NF-2200-PID-01'!#REF!</definedName>
    <definedName name="mccaubh25" localSheetId="4">'PID-0101'!#REF!</definedName>
    <definedName name="mccaubh25" localSheetId="5">'PID-0101 (2)'!#REF!</definedName>
    <definedName name="mccaubh25">#REF!</definedName>
    <definedName name="mccaubh3" localSheetId="2">'NF-2200-PID-01'!#REF!</definedName>
    <definedName name="mccaubh3" localSheetId="4">'PID-0101'!#REF!</definedName>
    <definedName name="mccaubh3" localSheetId="5">'PID-0101 (2)'!#REF!</definedName>
    <definedName name="mccaubh3">#REF!</definedName>
    <definedName name="mccaubh4" localSheetId="2">'NF-2200-PID-01'!#REF!</definedName>
    <definedName name="mccaubh4" localSheetId="4">'PID-0101'!#REF!</definedName>
    <definedName name="mccaubh4" localSheetId="5">'PID-0101 (2)'!#REF!</definedName>
    <definedName name="mccaubh4">#REF!</definedName>
    <definedName name="mccaubh40" localSheetId="2">'NF-2200-PID-01'!#REF!</definedName>
    <definedName name="mccaubh40" localSheetId="4">'PID-0101'!#REF!</definedName>
    <definedName name="mccaubh40" localSheetId="5">'PID-0101 (2)'!#REF!</definedName>
    <definedName name="mccaubh40">#REF!</definedName>
    <definedName name="mccaubh5" localSheetId="2">'NF-2200-PID-01'!#REF!</definedName>
    <definedName name="mccaubh5" localSheetId="4">'PID-0101'!#REF!</definedName>
    <definedName name="mccaubh5" localSheetId="5">'PID-0101 (2)'!#REF!</definedName>
    <definedName name="mccaubh5">#REF!</definedName>
    <definedName name="mccaubh6" localSheetId="2">'NF-2200-PID-01'!#REF!</definedName>
    <definedName name="mccaubh6" localSheetId="4">'PID-0101'!#REF!</definedName>
    <definedName name="mccaubh6" localSheetId="5">'PID-0101 (2)'!#REF!</definedName>
    <definedName name="mccaubh6">#REF!</definedName>
    <definedName name="mccaubh65" localSheetId="2">'NF-2200-PID-01'!#REF!</definedName>
    <definedName name="mccaubh65" localSheetId="4">'PID-0101'!#REF!</definedName>
    <definedName name="mccaubh65" localSheetId="5">'PID-0101 (2)'!#REF!</definedName>
    <definedName name="mccaubh65">#REF!</definedName>
    <definedName name="mccaubh7" localSheetId="2">'NF-2200-PID-01'!#REF!</definedName>
    <definedName name="mccaubh7" localSheetId="4">'PID-0101'!#REF!</definedName>
    <definedName name="mccaubh7" localSheetId="5">'PID-0101 (2)'!#REF!</definedName>
    <definedName name="mccaubh7">#REF!</definedName>
    <definedName name="mccaubh8" localSheetId="2">'NF-2200-PID-01'!#REF!</definedName>
    <definedName name="mccaubh8" localSheetId="4">'PID-0101'!#REF!</definedName>
    <definedName name="mccaubh8" localSheetId="5">'PID-0101 (2)'!#REF!</definedName>
    <definedName name="mccaubh8">#REF!</definedName>
    <definedName name="mccaubh90" localSheetId="2">'NF-2200-PID-01'!#REF!</definedName>
    <definedName name="mccaubh90" localSheetId="4">'PID-0101'!#REF!</definedName>
    <definedName name="mccaubh90" localSheetId="5">'PID-0101 (2)'!#REF!</definedName>
    <definedName name="mccaubh90">#REF!</definedName>
    <definedName name="mccaubx10" localSheetId="2">'NF-2200-PID-01'!#REF!</definedName>
    <definedName name="mccaubx10" localSheetId="4">'PID-0101'!#REF!</definedName>
    <definedName name="mccaubx10" localSheetId="5">'PID-0101 (2)'!#REF!</definedName>
    <definedName name="mccaubx10">#REF!</definedName>
    <definedName name="mccaubx100" localSheetId="2">'NF-2200-PID-01'!#REF!</definedName>
    <definedName name="mccaubx100" localSheetId="4">'PID-0101'!#REF!</definedName>
    <definedName name="mccaubx100" localSheetId="5">'PID-0101 (2)'!#REF!</definedName>
    <definedName name="mccaubx100">#REF!</definedName>
    <definedName name="mccaubx16" localSheetId="2">'NF-2200-PID-01'!#REF!</definedName>
    <definedName name="mccaubx16" localSheetId="4">'PID-0101'!#REF!</definedName>
    <definedName name="mccaubx16" localSheetId="5">'PID-0101 (2)'!#REF!</definedName>
    <definedName name="mccaubx16">#REF!</definedName>
    <definedName name="mccaubx25" localSheetId="2">'NF-2200-PID-01'!#REF!</definedName>
    <definedName name="mccaubx25" localSheetId="4">'PID-0101'!#REF!</definedName>
    <definedName name="mccaubx25" localSheetId="5">'PID-0101 (2)'!#REF!</definedName>
    <definedName name="mccaubx25">#REF!</definedName>
    <definedName name="mccaubx28" localSheetId="2">'NF-2200-PID-01'!#REF!</definedName>
    <definedName name="mccaubx28" localSheetId="4">'PID-0101'!#REF!</definedName>
    <definedName name="mccaubx28" localSheetId="5">'PID-0101 (2)'!#REF!</definedName>
    <definedName name="mccaubx28">#REF!</definedName>
    <definedName name="mccaubx40" localSheetId="2">'NF-2200-PID-01'!#REF!</definedName>
    <definedName name="mccaubx40" localSheetId="4">'PID-0101'!#REF!</definedName>
    <definedName name="mccaubx40" localSheetId="5">'PID-0101 (2)'!#REF!</definedName>
    <definedName name="mccaubx40">#REF!</definedName>
    <definedName name="mccaubx5" localSheetId="2">'NF-2200-PID-01'!#REF!</definedName>
    <definedName name="mccaubx5" localSheetId="4">'PID-0101'!#REF!</definedName>
    <definedName name="mccaubx5" localSheetId="5">'PID-0101 (2)'!#REF!</definedName>
    <definedName name="mccaubx5">#REF!</definedName>
    <definedName name="mccaubx50" localSheetId="2">'NF-2200-PID-01'!#REF!</definedName>
    <definedName name="mccaubx50" localSheetId="4">'PID-0101'!#REF!</definedName>
    <definedName name="mccaubx50" localSheetId="5">'PID-0101 (2)'!#REF!</definedName>
    <definedName name="mccaubx50">#REF!</definedName>
    <definedName name="mccaubx63" localSheetId="2">'NF-2200-PID-01'!#REF!</definedName>
    <definedName name="mccaubx63" localSheetId="4">'PID-0101'!#REF!</definedName>
    <definedName name="mccaubx63" localSheetId="5">'PID-0101 (2)'!#REF!</definedName>
    <definedName name="mccaubx63">#REF!</definedName>
    <definedName name="mccaubx7" localSheetId="2">'NF-2200-PID-01'!#REF!</definedName>
    <definedName name="mccaubx7" localSheetId="4">'PID-0101'!#REF!</definedName>
    <definedName name="mccaubx7" localSheetId="5">'PID-0101 (2)'!#REF!</definedName>
    <definedName name="mccaubx7">#REF!</definedName>
    <definedName name="mccauladam60" localSheetId="2">'NF-2200-PID-01'!#REF!</definedName>
    <definedName name="mccauladam60" localSheetId="4">'PID-0101'!#REF!</definedName>
    <definedName name="mccauladam60" localSheetId="5">'PID-0101 (2)'!#REF!</definedName>
    <definedName name="mccauladam60">#REF!</definedName>
    <definedName name="mccaunoi100" localSheetId="2">'NF-2200-PID-01'!#REF!</definedName>
    <definedName name="mccaunoi100" localSheetId="4">'PID-0101'!#REF!</definedName>
    <definedName name="mccaunoi100" localSheetId="5">'PID-0101 (2)'!#REF!</definedName>
    <definedName name="mccaunoi100">#REF!</definedName>
    <definedName name="mccaunoi30" localSheetId="2">'NF-2200-PID-01'!#REF!</definedName>
    <definedName name="mccaunoi30" localSheetId="4">'PID-0101'!#REF!</definedName>
    <definedName name="mccaunoi30" localSheetId="5">'PID-0101 (2)'!#REF!</definedName>
    <definedName name="mccaunoi30">#REF!</definedName>
    <definedName name="mccauthap10" localSheetId="2">'NF-2200-PID-01'!#REF!</definedName>
    <definedName name="mccauthap10" localSheetId="4">'PID-0101'!#REF!</definedName>
    <definedName name="mccauthap10" localSheetId="5">'PID-0101 (2)'!#REF!</definedName>
    <definedName name="mccauthap10">#REF!</definedName>
    <definedName name="mccauthap12" localSheetId="2">'NF-2200-PID-01'!#REF!</definedName>
    <definedName name="mccauthap12" localSheetId="4">'PID-0101'!#REF!</definedName>
    <definedName name="mccauthap12" localSheetId="5">'PID-0101 (2)'!#REF!</definedName>
    <definedName name="mccauthap12">#REF!</definedName>
    <definedName name="mccauthap15" localSheetId="2">'NF-2200-PID-01'!#REF!</definedName>
    <definedName name="mccauthap15" localSheetId="4">'PID-0101'!#REF!</definedName>
    <definedName name="mccauthap15" localSheetId="5">'PID-0101 (2)'!#REF!</definedName>
    <definedName name="mccauthap15">#REF!</definedName>
    <definedName name="mccauthap20" localSheetId="2">'NF-2200-PID-01'!#REF!</definedName>
    <definedName name="mccauthap20" localSheetId="4">'PID-0101'!#REF!</definedName>
    <definedName name="mccauthap20" localSheetId="5">'PID-0101 (2)'!#REF!</definedName>
    <definedName name="mccauthap20">#REF!</definedName>
    <definedName name="mccauthap25" localSheetId="2">'NF-2200-PID-01'!#REF!</definedName>
    <definedName name="mccauthap25" localSheetId="4">'PID-0101'!#REF!</definedName>
    <definedName name="mccauthap25" localSheetId="5">'PID-0101 (2)'!#REF!</definedName>
    <definedName name="mccauthap25">#REF!</definedName>
    <definedName name="mccauthap3" localSheetId="2">'NF-2200-PID-01'!#REF!</definedName>
    <definedName name="mccauthap3" localSheetId="4">'PID-0101'!#REF!</definedName>
    <definedName name="mccauthap3" localSheetId="5">'PID-0101 (2)'!#REF!</definedName>
    <definedName name="mccauthap3">#REF!</definedName>
    <definedName name="mccauthap30" localSheetId="2">'NF-2200-PID-01'!#REF!</definedName>
    <definedName name="mccauthap30" localSheetId="4">'PID-0101'!#REF!</definedName>
    <definedName name="mccauthap30" localSheetId="5">'PID-0101 (2)'!#REF!</definedName>
    <definedName name="mccauthap30">#REF!</definedName>
    <definedName name="mccauthap40" localSheetId="2">'NF-2200-PID-01'!#REF!</definedName>
    <definedName name="mccauthap40" localSheetId="4">'PID-0101'!#REF!</definedName>
    <definedName name="mccauthap40" localSheetId="5">'PID-0101 (2)'!#REF!</definedName>
    <definedName name="mccauthap40">#REF!</definedName>
    <definedName name="mccauthap5" localSheetId="2">'NF-2200-PID-01'!#REF!</definedName>
    <definedName name="mccauthap5" localSheetId="4">'PID-0101'!#REF!</definedName>
    <definedName name="mccauthap5" localSheetId="5">'PID-0101 (2)'!#REF!</definedName>
    <definedName name="mccauthap5">#REF!</definedName>
    <definedName name="mccauthap50" localSheetId="2">'NF-2200-PID-01'!#REF!</definedName>
    <definedName name="mccauthap50" localSheetId="4">'PID-0101'!#REF!</definedName>
    <definedName name="mccauthap50" localSheetId="5">'PID-0101 (2)'!#REF!</definedName>
    <definedName name="mccauthap50">#REF!</definedName>
    <definedName name="mccauthap8" localSheetId="2">'NF-2200-PID-01'!#REF!</definedName>
    <definedName name="mccauthap8" localSheetId="4">'PID-0101'!#REF!</definedName>
    <definedName name="mccauthap8" localSheetId="5">'PID-0101 (2)'!#REF!</definedName>
    <definedName name="mccauthap8">#REF!</definedName>
    <definedName name="mccautnhi0.5" localSheetId="2">'NF-2200-PID-01'!#REF!</definedName>
    <definedName name="mccautnhi0.5" localSheetId="4">'PID-0101'!#REF!</definedName>
    <definedName name="mccautnhi0.5" localSheetId="5">'PID-0101 (2)'!#REF!</definedName>
    <definedName name="mccautnhi0.5">#REF!</definedName>
    <definedName name="mcuakl1.7" localSheetId="2">'NF-2200-PID-01'!#REF!</definedName>
    <definedName name="mcuakl1.7" localSheetId="4">'PID-0101'!#REF!</definedName>
    <definedName name="mcuakl1.7" localSheetId="5">'PID-0101 (2)'!#REF!</definedName>
    <definedName name="mcuakl1.7">#REF!</definedName>
    <definedName name="mdamban0.4" localSheetId="2">'NF-2200-PID-01'!#REF!</definedName>
    <definedName name="mdamban0.4" localSheetId="4">'PID-0101'!#REF!</definedName>
    <definedName name="mdamban0.4" localSheetId="5">'PID-0101 (2)'!#REF!</definedName>
    <definedName name="mdamban0.4">#REF!</definedName>
    <definedName name="mdamban0.6" localSheetId="2">'NF-2200-PID-01'!#REF!</definedName>
    <definedName name="mdamban0.6" localSheetId="4">'PID-0101'!#REF!</definedName>
    <definedName name="mdamban0.6" localSheetId="5">'PID-0101 (2)'!#REF!</definedName>
    <definedName name="mdamban0.6">#REF!</definedName>
    <definedName name="mdamban0.8" localSheetId="2">'NF-2200-PID-01'!#REF!</definedName>
    <definedName name="mdamban0.8" localSheetId="4">'PID-0101'!#REF!</definedName>
    <definedName name="mdamban0.8" localSheetId="5">'PID-0101 (2)'!#REF!</definedName>
    <definedName name="mdamban0.8">#REF!</definedName>
    <definedName name="mdamban1" localSheetId="2">'NF-2200-PID-01'!#REF!</definedName>
    <definedName name="mdamban1" localSheetId="4">'PID-0101'!#REF!</definedName>
    <definedName name="mdamban1" localSheetId="5">'PID-0101 (2)'!#REF!</definedName>
    <definedName name="mdamban1">#REF!</definedName>
    <definedName name="mdambhdkbx12.5" localSheetId="2">'NF-2200-PID-01'!#REF!</definedName>
    <definedName name="mdambhdkbx12.5" localSheetId="4">'PID-0101'!#REF!</definedName>
    <definedName name="mdambhdkbx12.5" localSheetId="5">'PID-0101 (2)'!#REF!</definedName>
    <definedName name="mdambhdkbx12.5">#REF!</definedName>
    <definedName name="mdambhdkbx18" localSheetId="2">'NF-2200-PID-01'!#REF!</definedName>
    <definedName name="mdambhdkbx18" localSheetId="4">'PID-0101'!#REF!</definedName>
    <definedName name="mdambhdkbx18" localSheetId="5">'PID-0101 (2)'!#REF!</definedName>
    <definedName name="mdambhdkbx18">#REF!</definedName>
    <definedName name="mdambhdkbx25" localSheetId="2">'NF-2200-PID-01'!#REF!</definedName>
    <definedName name="mdambhdkbx25" localSheetId="4">'PID-0101'!#REF!</definedName>
    <definedName name="mdambhdkbx25" localSheetId="5">'PID-0101 (2)'!#REF!</definedName>
    <definedName name="mdambhdkbx25">#REF!</definedName>
    <definedName name="mdambhdkbx26.5" localSheetId="2">'NF-2200-PID-01'!#REF!</definedName>
    <definedName name="mdambhdkbx26.5" localSheetId="4">'PID-0101'!#REF!</definedName>
    <definedName name="mdambhdkbx26.5" localSheetId="5">'PID-0101 (2)'!#REF!</definedName>
    <definedName name="mdambhdkbx26.5">#REF!</definedName>
    <definedName name="mdambhdkbx9" localSheetId="2">'NF-2200-PID-01'!#REF!</definedName>
    <definedName name="mdambhdkbx9" localSheetId="4">'PID-0101'!#REF!</definedName>
    <definedName name="mdambhdkbx9" localSheetId="5">'PID-0101 (2)'!#REF!</definedName>
    <definedName name="mdambhdkbx9">#REF!</definedName>
    <definedName name="mdambhth16" localSheetId="2">'NF-2200-PID-01'!#REF!</definedName>
    <definedName name="mdambhth16" localSheetId="4">'PID-0101'!#REF!</definedName>
    <definedName name="mdambhth16" localSheetId="5">'PID-0101 (2)'!#REF!</definedName>
    <definedName name="mdambhth16">#REF!</definedName>
    <definedName name="mdambhth17.5" localSheetId="2">'NF-2200-PID-01'!#REF!</definedName>
    <definedName name="mdambhth17.5" localSheetId="4">'PID-0101'!#REF!</definedName>
    <definedName name="mdambhth17.5" localSheetId="5">'PID-0101 (2)'!#REF!</definedName>
    <definedName name="mdambhth17.5">#REF!</definedName>
    <definedName name="mdambhth25" localSheetId="2">'NF-2200-PID-01'!#REF!</definedName>
    <definedName name="mdambhth25" localSheetId="4">'PID-0101'!#REF!</definedName>
    <definedName name="mdambhth25" localSheetId="5">'PID-0101 (2)'!#REF!</definedName>
    <definedName name="mdambhth25">#REF!</definedName>
    <definedName name="mdambthepth10" localSheetId="2">'NF-2200-PID-01'!#REF!</definedName>
    <definedName name="mdambthepth10" localSheetId="4">'PID-0101'!#REF!</definedName>
    <definedName name="mdambthepth10" localSheetId="5">'PID-0101 (2)'!#REF!</definedName>
    <definedName name="mdambthepth10">#REF!</definedName>
    <definedName name="mdambthepth12.2" localSheetId="2">'NF-2200-PID-01'!#REF!</definedName>
    <definedName name="mdambthepth12.2" localSheetId="4">'PID-0101'!#REF!</definedName>
    <definedName name="mdambthepth12.2" localSheetId="5">'PID-0101 (2)'!#REF!</definedName>
    <definedName name="mdambthepth12.2">#REF!</definedName>
    <definedName name="mdambthepth13" localSheetId="2">'NF-2200-PID-01'!#REF!</definedName>
    <definedName name="mdambthepth13" localSheetId="4">'PID-0101'!#REF!</definedName>
    <definedName name="mdambthepth13" localSheetId="5">'PID-0101 (2)'!#REF!</definedName>
    <definedName name="mdambthepth13">#REF!</definedName>
    <definedName name="mdambthepth14.5" localSheetId="2">'NF-2200-PID-01'!#REF!</definedName>
    <definedName name="mdambthepth14.5" localSheetId="4">'PID-0101'!#REF!</definedName>
    <definedName name="mdambthepth14.5" localSheetId="5">'PID-0101 (2)'!#REF!</definedName>
    <definedName name="mdambthepth14.5">#REF!</definedName>
    <definedName name="mdambthepth15.5" localSheetId="2">'NF-2200-PID-01'!#REF!</definedName>
    <definedName name="mdambthepth15.5" localSheetId="4">'PID-0101'!#REF!</definedName>
    <definedName name="mdambthepth15.5" localSheetId="5">'PID-0101 (2)'!#REF!</definedName>
    <definedName name="mdambthepth15.5">#REF!</definedName>
    <definedName name="mdambthepth8.5" localSheetId="2">'NF-2200-PID-01'!#REF!</definedName>
    <definedName name="mdambthepth8.5" localSheetId="4">'PID-0101'!#REF!</definedName>
    <definedName name="mdambthepth8.5" localSheetId="5">'PID-0101 (2)'!#REF!</definedName>
    <definedName name="mdambthepth8.5">#REF!</definedName>
    <definedName name="mdamcanh1" localSheetId="2">'NF-2200-PID-01'!#REF!</definedName>
    <definedName name="mdamcanh1" localSheetId="4">'PID-0101'!#REF!</definedName>
    <definedName name="mdamcanh1" localSheetId="5">'PID-0101 (2)'!#REF!</definedName>
    <definedName name="mdamcanh1">#REF!</definedName>
    <definedName name="mdamccdk5.5" localSheetId="2">'NF-2200-PID-01'!#REF!</definedName>
    <definedName name="mdamccdk5.5" localSheetId="4">'PID-0101'!#REF!</definedName>
    <definedName name="mdamccdk5.5" localSheetId="5">'PID-0101 (2)'!#REF!</definedName>
    <definedName name="mdamccdk5.5">#REF!</definedName>
    <definedName name="mdamccdk9" localSheetId="2">'NF-2200-PID-01'!#REF!</definedName>
    <definedName name="mdamccdk9" localSheetId="4">'PID-0101'!#REF!</definedName>
    <definedName name="mdamccdk9" localSheetId="5">'PID-0101 (2)'!#REF!</definedName>
    <definedName name="mdamccdk9">#REF!</definedName>
    <definedName name="mdamdatct60" localSheetId="2">'NF-2200-PID-01'!#REF!</definedName>
    <definedName name="mdamdatct60" localSheetId="4">'PID-0101'!#REF!</definedName>
    <definedName name="mdamdatct60" localSheetId="5">'PID-0101 (2)'!#REF!</definedName>
    <definedName name="mdamdatct60">#REF!</definedName>
    <definedName name="mdamdatct80" localSheetId="2">'NF-2200-PID-01'!#REF!</definedName>
    <definedName name="mdamdatct80" localSheetId="4">'PID-0101'!#REF!</definedName>
    <definedName name="mdamdatct80" localSheetId="5">'PID-0101 (2)'!#REF!</definedName>
    <definedName name="mdamdatct80">#REF!</definedName>
    <definedName name="mdamdui0.6" localSheetId="2">'NF-2200-PID-01'!#REF!</definedName>
    <definedName name="mdamdui0.6" localSheetId="4">'PID-0101'!#REF!</definedName>
    <definedName name="mdamdui0.6" localSheetId="5">'PID-0101 (2)'!#REF!</definedName>
    <definedName name="mdamdui0.6">#REF!</definedName>
    <definedName name="mdamdui0.8" localSheetId="2">'NF-2200-PID-01'!#REF!</definedName>
    <definedName name="mdamdui0.8" localSheetId="4">'PID-0101'!#REF!</definedName>
    <definedName name="mdamdui0.8" localSheetId="5">'PID-0101 (2)'!#REF!</definedName>
    <definedName name="mdamdui0.8">#REF!</definedName>
    <definedName name="mdamdui1" localSheetId="2">'NF-2200-PID-01'!#REF!</definedName>
    <definedName name="mdamdui1" localSheetId="4">'PID-0101'!#REF!</definedName>
    <definedName name="mdamdui1" localSheetId="5">'PID-0101 (2)'!#REF!</definedName>
    <definedName name="mdamdui1">#REF!</definedName>
    <definedName name="mdamdui1.5" localSheetId="2">'NF-2200-PID-01'!#REF!</definedName>
    <definedName name="mdamdui1.5" localSheetId="4">'PID-0101'!#REF!</definedName>
    <definedName name="mdamdui1.5" localSheetId="5">'PID-0101 (2)'!#REF!</definedName>
    <definedName name="mdamdui1.5">#REF!</definedName>
    <definedName name="mdamdui2.8" localSheetId="2">'NF-2200-PID-01'!#REF!</definedName>
    <definedName name="mdamdui2.8" localSheetId="4">'PID-0101'!#REF!</definedName>
    <definedName name="mdamdui2.8" localSheetId="5">'PID-0101 (2)'!#REF!</definedName>
    <definedName name="mdamdui2.8">#REF!</definedName>
    <definedName name="mdamrung15" localSheetId="2">'NF-2200-PID-01'!#REF!</definedName>
    <definedName name="mdamrung15" localSheetId="4">'PID-0101'!#REF!</definedName>
    <definedName name="mdamrung15" localSheetId="5">'PID-0101 (2)'!#REF!</definedName>
    <definedName name="mdamrung15">#REF!</definedName>
    <definedName name="mdamrung18" localSheetId="2">'NF-2200-PID-01'!#REF!</definedName>
    <definedName name="mdamrung18" localSheetId="4">'PID-0101'!#REF!</definedName>
    <definedName name="mdamrung18" localSheetId="5">'PID-0101 (2)'!#REF!</definedName>
    <definedName name="mdamrung18">#REF!</definedName>
    <definedName name="mdamrung8" localSheetId="2">'NF-2200-PID-01'!#REF!</definedName>
    <definedName name="mdamrung8" localSheetId="4">'PID-0101'!#REF!</definedName>
    <definedName name="mdamrung8" localSheetId="5">'PID-0101 (2)'!#REF!</definedName>
    <definedName name="mdamrung8">#REF!</definedName>
    <definedName name="mdao1gbh0.15" localSheetId="2">'NF-2200-PID-01'!#REF!</definedName>
    <definedName name="mdao1gbh0.15" localSheetId="4">'PID-0101'!#REF!</definedName>
    <definedName name="mdao1gbh0.15" localSheetId="5">'PID-0101 (2)'!#REF!</definedName>
    <definedName name="mdao1gbh0.15">#REF!</definedName>
    <definedName name="mdao1gbh0.25" localSheetId="2">'NF-2200-PID-01'!#REF!</definedName>
    <definedName name="mdao1gbh0.25" localSheetId="4">'PID-0101'!#REF!</definedName>
    <definedName name="mdao1gbh0.25" localSheetId="5">'PID-0101 (2)'!#REF!</definedName>
    <definedName name="mdao1gbh0.25">#REF!</definedName>
    <definedName name="mdao1gbh0.30" localSheetId="2">'NF-2200-PID-01'!#REF!</definedName>
    <definedName name="mdao1gbh0.30" localSheetId="4">'PID-0101'!#REF!</definedName>
    <definedName name="mdao1gbh0.30" localSheetId="5">'PID-0101 (2)'!#REF!</definedName>
    <definedName name="mdao1gbh0.30">#REF!</definedName>
    <definedName name="mdao1gbh0.35" localSheetId="2">'NF-2200-PID-01'!#REF!</definedName>
    <definedName name="mdao1gbh0.35" localSheetId="4">'PID-0101'!#REF!</definedName>
    <definedName name="mdao1gbh0.35" localSheetId="5">'PID-0101 (2)'!#REF!</definedName>
    <definedName name="mdao1gbh0.35">#REF!</definedName>
    <definedName name="mdao1gbh0.40" localSheetId="2">'NF-2200-PID-01'!#REF!</definedName>
    <definedName name="mdao1gbh0.40" localSheetId="4">'PID-0101'!#REF!</definedName>
    <definedName name="mdao1gbh0.40" localSheetId="5">'PID-0101 (2)'!#REF!</definedName>
    <definedName name="mdao1gbh0.40">#REF!</definedName>
    <definedName name="mdao1gbh0.65" localSheetId="2">'NF-2200-PID-01'!#REF!</definedName>
    <definedName name="mdao1gbh0.65" localSheetId="4">'PID-0101'!#REF!</definedName>
    <definedName name="mdao1gbh0.65" localSheetId="5">'PID-0101 (2)'!#REF!</definedName>
    <definedName name="mdao1gbh0.65">#REF!</definedName>
    <definedName name="mdao1gbh0.75" localSheetId="2">'NF-2200-PID-01'!#REF!</definedName>
    <definedName name="mdao1gbh0.75" localSheetId="4">'PID-0101'!#REF!</definedName>
    <definedName name="mdao1gbh0.75" localSheetId="5">'PID-0101 (2)'!#REF!</definedName>
    <definedName name="mdao1gbh0.75">#REF!</definedName>
    <definedName name="mdao1gbh1.25" localSheetId="2">'NF-2200-PID-01'!#REF!</definedName>
    <definedName name="mdao1gbh1.25" localSheetId="4">'PID-0101'!#REF!</definedName>
    <definedName name="mdao1gbh1.25" localSheetId="5">'PID-0101 (2)'!#REF!</definedName>
    <definedName name="mdao1gbh1.25">#REF!</definedName>
    <definedName name="mdao1gbx0.22" localSheetId="2">'NF-2200-PID-01'!#REF!</definedName>
    <definedName name="mdao1gbx0.22" localSheetId="4">'PID-0101'!#REF!</definedName>
    <definedName name="mdao1gbx0.22" localSheetId="5">'PID-0101 (2)'!#REF!</definedName>
    <definedName name="mdao1gbx0.22">#REF!</definedName>
    <definedName name="mdao1gbx0.25" localSheetId="2">'NF-2200-PID-01'!#REF!</definedName>
    <definedName name="mdao1gbx0.25" localSheetId="4">'PID-0101'!#REF!</definedName>
    <definedName name="mdao1gbx0.25" localSheetId="5">'PID-0101 (2)'!#REF!</definedName>
    <definedName name="mdao1gbx0.25">#REF!</definedName>
    <definedName name="mdao1gbx0.30" localSheetId="2">'NF-2200-PID-01'!#REF!</definedName>
    <definedName name="mdao1gbx0.30" localSheetId="4">'PID-0101'!#REF!</definedName>
    <definedName name="mdao1gbx0.30" localSheetId="5">'PID-0101 (2)'!#REF!</definedName>
    <definedName name="mdao1gbx0.30">#REF!</definedName>
    <definedName name="mdao1gbx0.35" localSheetId="2">'NF-2200-PID-01'!#REF!</definedName>
    <definedName name="mdao1gbx0.35" localSheetId="4">'PID-0101'!#REF!</definedName>
    <definedName name="mdao1gbx0.35" localSheetId="5">'PID-0101 (2)'!#REF!</definedName>
    <definedName name="mdao1gbx0.35">#REF!</definedName>
    <definedName name="mdao1gbx0.40" localSheetId="2">'NF-2200-PID-01'!#REF!</definedName>
    <definedName name="mdao1gbx0.40" localSheetId="4">'PID-0101'!#REF!</definedName>
    <definedName name="mdao1gbx0.40" localSheetId="5">'PID-0101 (2)'!#REF!</definedName>
    <definedName name="mdao1gbx0.40">#REF!</definedName>
    <definedName name="mdao1gbx0.50" localSheetId="2">'NF-2200-PID-01'!#REF!</definedName>
    <definedName name="mdao1gbx0.50" localSheetId="4">'PID-0101'!#REF!</definedName>
    <definedName name="mdao1gbx0.50" localSheetId="5">'PID-0101 (2)'!#REF!</definedName>
    <definedName name="mdao1gbx0.50">#REF!</definedName>
    <definedName name="mdao1gbx0.65" localSheetId="2">'NF-2200-PID-01'!#REF!</definedName>
    <definedName name="mdao1gbx0.65" localSheetId="4">'PID-0101'!#REF!</definedName>
    <definedName name="mdao1gbx0.65" localSheetId="5">'PID-0101 (2)'!#REF!</definedName>
    <definedName name="mdao1gbx0.65">#REF!</definedName>
    <definedName name="mdao1gbx1.00" localSheetId="2">'NF-2200-PID-01'!#REF!</definedName>
    <definedName name="mdao1gbx1.00" localSheetId="4">'PID-0101'!#REF!</definedName>
    <definedName name="mdao1gbx1.00" localSheetId="5">'PID-0101 (2)'!#REF!</definedName>
    <definedName name="mdao1gbx1.00">#REF!</definedName>
    <definedName name="mdao1gbx1.20" localSheetId="2">'NF-2200-PID-01'!#REF!</definedName>
    <definedName name="mdao1gbx1.20" localSheetId="4">'PID-0101'!#REF!</definedName>
    <definedName name="mdao1gbx1.20" localSheetId="5">'PID-0101 (2)'!#REF!</definedName>
    <definedName name="mdao1gbx1.20">#REF!</definedName>
    <definedName name="mdao1gbx1.25" localSheetId="2">'NF-2200-PID-01'!#REF!</definedName>
    <definedName name="mdao1gbx1.25" localSheetId="4">'PID-0101'!#REF!</definedName>
    <definedName name="mdao1gbx1.25" localSheetId="5">'PID-0101 (2)'!#REF!</definedName>
    <definedName name="mdao1gbx1.25">#REF!</definedName>
    <definedName name="mdao1gbx1.60" localSheetId="2">'NF-2200-PID-01'!#REF!</definedName>
    <definedName name="mdao1gbx1.60" localSheetId="4">'PID-0101'!#REF!</definedName>
    <definedName name="mdao1gbx1.60" localSheetId="5">'PID-0101 (2)'!#REF!</definedName>
    <definedName name="mdao1gbx1.60">#REF!</definedName>
    <definedName name="mdao1gbx2.00" localSheetId="2">'NF-2200-PID-01'!#REF!</definedName>
    <definedName name="mdao1gbx2.00" localSheetId="4">'PID-0101'!#REF!</definedName>
    <definedName name="mdao1gbx2.00" localSheetId="5">'PID-0101 (2)'!#REF!</definedName>
    <definedName name="mdao1gbx2.00">#REF!</definedName>
    <definedName name="mdao1gbx2.50" localSheetId="2">'NF-2200-PID-01'!#REF!</definedName>
    <definedName name="mdao1gbx2.50" localSheetId="4">'PID-0101'!#REF!</definedName>
    <definedName name="mdao1gbx2.50" localSheetId="5">'PID-0101 (2)'!#REF!</definedName>
    <definedName name="mdao1gbx2.50">#REF!</definedName>
    <definedName name="mdao1gbx4.00" localSheetId="2">'NF-2200-PID-01'!#REF!</definedName>
    <definedName name="mdao1gbx4.00" localSheetId="4">'PID-0101'!#REF!</definedName>
    <definedName name="mdao1gbx4.00" localSheetId="5">'PID-0101 (2)'!#REF!</definedName>
    <definedName name="mdao1gbx4.00">#REF!</definedName>
    <definedName name="mdao1gbx4.60" localSheetId="2">'NF-2200-PID-01'!#REF!</definedName>
    <definedName name="mdao1gbx4.60" localSheetId="4">'PID-0101'!#REF!</definedName>
    <definedName name="mdao1gbx4.60" localSheetId="5">'PID-0101 (2)'!#REF!</definedName>
    <definedName name="mdao1gbx4.60">#REF!</definedName>
    <definedName name="mdao1gbx5.00" localSheetId="2">'NF-2200-PID-01'!#REF!</definedName>
    <definedName name="mdao1gbx5.00" localSheetId="4">'PID-0101'!#REF!</definedName>
    <definedName name="mdao1gbx5.00" localSheetId="5">'PID-0101 (2)'!#REF!</definedName>
    <definedName name="mdao1gbx5.00">#REF!</definedName>
    <definedName name="me" localSheetId="2">'NF-2200-PID-01'!#REF!</definedName>
    <definedName name="me" localSheetId="4">'PID-0101'!#REF!</definedName>
    <definedName name="me" localSheetId="5">'PID-0101 (2)'!#REF!</definedName>
    <definedName name="me">#REF!</definedName>
    <definedName name="mepcocsau1" localSheetId="2">'NF-2200-PID-01'!#REF!</definedName>
    <definedName name="mepcocsau1" localSheetId="4">'PID-0101'!#REF!</definedName>
    <definedName name="mepcocsau1" localSheetId="5">'PID-0101 (2)'!#REF!</definedName>
    <definedName name="mepcocsau1">#REF!</definedName>
    <definedName name="mepcoctr100" localSheetId="2">'NF-2200-PID-01'!#REF!</definedName>
    <definedName name="mepcoctr100" localSheetId="4">'PID-0101'!#REF!</definedName>
    <definedName name="mepcoctr100" localSheetId="5">'PID-0101 (2)'!#REF!</definedName>
    <definedName name="mepcoctr100">#REF!</definedName>
    <definedName name="mepcoctr60" localSheetId="2">'NF-2200-PID-01'!#REF!</definedName>
    <definedName name="mepcoctr60" localSheetId="4">'PID-0101'!#REF!</definedName>
    <definedName name="mepcoctr60" localSheetId="5">'PID-0101 (2)'!#REF!</definedName>
    <definedName name="mepcoctr60">#REF!</definedName>
    <definedName name="MG_A" localSheetId="2">'NF-2200-PID-01'!#REF!</definedName>
    <definedName name="MG_A" localSheetId="4">'PID-0101'!#REF!</definedName>
    <definedName name="MG_A" localSheetId="5">'PID-0101 (2)'!#REF!</definedName>
    <definedName name="MG_A">#REF!</definedName>
    <definedName name="mhan1chieu40" localSheetId="2">'NF-2200-PID-01'!#REF!</definedName>
    <definedName name="mhan1chieu40" localSheetId="4">'PID-0101'!#REF!</definedName>
    <definedName name="mhan1chieu40" localSheetId="5">'PID-0101 (2)'!#REF!</definedName>
    <definedName name="mhan1chieu40">#REF!</definedName>
    <definedName name="mhan1chieu50" localSheetId="2">'NF-2200-PID-01'!#REF!</definedName>
    <definedName name="mhan1chieu50" localSheetId="4">'PID-0101'!#REF!</definedName>
    <definedName name="mhan1chieu50" localSheetId="5">'PID-0101 (2)'!#REF!</definedName>
    <definedName name="mhan1chieu50">#REF!</definedName>
    <definedName name="mhancatnuoc124" localSheetId="2">'NF-2200-PID-01'!#REF!</definedName>
    <definedName name="mhancatnuoc124" localSheetId="4">'PID-0101'!#REF!</definedName>
    <definedName name="mhancatnuoc124" localSheetId="5">'PID-0101 (2)'!#REF!</definedName>
    <definedName name="mhancatnuoc124">#REF!</definedName>
    <definedName name="mhand10.2" localSheetId="2">'NF-2200-PID-01'!#REF!</definedName>
    <definedName name="mhand10.2" localSheetId="4">'PID-0101'!#REF!</definedName>
    <definedName name="mhand10.2" localSheetId="5">'PID-0101 (2)'!#REF!</definedName>
    <definedName name="mhand10.2">#REF!</definedName>
    <definedName name="mhand27.5" localSheetId="2">'NF-2200-PID-01'!#REF!</definedName>
    <definedName name="mhand27.5" localSheetId="4">'PID-0101'!#REF!</definedName>
    <definedName name="mhand27.5" localSheetId="5">'PID-0101 (2)'!#REF!</definedName>
    <definedName name="mhand27.5">#REF!</definedName>
    <definedName name="mhand4" localSheetId="2">'NF-2200-PID-01'!#REF!</definedName>
    <definedName name="mhand4" localSheetId="4">'PID-0101'!#REF!</definedName>
    <definedName name="mhand4" localSheetId="5">'PID-0101 (2)'!#REF!</definedName>
    <definedName name="mhand4">#REF!</definedName>
    <definedName name="mhanhoi1000" localSheetId="2">'NF-2200-PID-01'!#REF!</definedName>
    <definedName name="mhanhoi1000" localSheetId="4">'PID-0101'!#REF!</definedName>
    <definedName name="mhanhoi1000" localSheetId="5">'PID-0101 (2)'!#REF!</definedName>
    <definedName name="mhanhoi1000">#REF!</definedName>
    <definedName name="mhanhoi2000" localSheetId="2">'NF-2200-PID-01'!#REF!</definedName>
    <definedName name="mhanhoi2000" localSheetId="4">'PID-0101'!#REF!</definedName>
    <definedName name="mhanhoi2000" localSheetId="5">'PID-0101 (2)'!#REF!</definedName>
    <definedName name="mhanhoi2000">#REF!</definedName>
    <definedName name="mhanxang20" localSheetId="2">'NF-2200-PID-01'!#REF!</definedName>
    <definedName name="mhanxang20" localSheetId="4">'PID-0101'!#REF!</definedName>
    <definedName name="mhanxang20" localSheetId="5">'PID-0101 (2)'!#REF!</definedName>
    <definedName name="mhanxang20">#REF!</definedName>
    <definedName name="mhanxang9" localSheetId="2">'NF-2200-PID-01'!#REF!</definedName>
    <definedName name="mhanxang9" localSheetId="4">'PID-0101'!#REF!</definedName>
    <definedName name="mhanxang9" localSheetId="5">'PID-0101 (2)'!#REF!</definedName>
    <definedName name="mhanxang9">#REF!</definedName>
    <definedName name="mhanxchieu23" localSheetId="2">'NF-2200-PID-01'!#REF!</definedName>
    <definedName name="mhanxchieu23" localSheetId="4">'PID-0101'!#REF!</definedName>
    <definedName name="mhanxchieu23" localSheetId="5">'PID-0101 (2)'!#REF!</definedName>
    <definedName name="mhanxchieu23">#REF!</definedName>
    <definedName name="mhanxchieu29.2" localSheetId="2">'NF-2200-PID-01'!#REF!</definedName>
    <definedName name="mhanxchieu29.2" localSheetId="4">'PID-0101'!#REF!</definedName>
    <definedName name="mhanxchieu29.2" localSheetId="5">'PID-0101 (2)'!#REF!</definedName>
    <definedName name="mhanxchieu29.2">#REF!</definedName>
    <definedName name="mhanxchieu33.5" localSheetId="2">'NF-2200-PID-01'!#REF!</definedName>
    <definedName name="mhanxchieu33.5" localSheetId="4">'PID-0101'!#REF!</definedName>
    <definedName name="mhanxchieu33.5" localSheetId="5">'PID-0101 (2)'!#REF!</definedName>
    <definedName name="mhanxchieu33.5">#REF!</definedName>
    <definedName name="mkcnGPS15" localSheetId="2">'NF-2200-PID-01'!#REF!</definedName>
    <definedName name="mkcnGPS15" localSheetId="4">'PID-0101'!#REF!</definedName>
    <definedName name="mkcnGPS15" localSheetId="5">'PID-0101 (2)'!#REF!</definedName>
    <definedName name="mkcnGPS15">#REF!</definedName>
    <definedName name="mkcnTRC15" localSheetId="2">'NF-2200-PID-01'!#REF!</definedName>
    <definedName name="mkcnTRC15" localSheetId="4">'PID-0101'!#REF!</definedName>
    <definedName name="mkcnTRC15" localSheetId="5">'PID-0101 (2)'!#REF!</definedName>
    <definedName name="mkcnTRC15">#REF!</definedName>
    <definedName name="mkcnVRM" localSheetId="2">'NF-2200-PID-01'!#REF!</definedName>
    <definedName name="mkcnVRM" localSheetId="4">'PID-0101'!#REF!</definedName>
    <definedName name="mkcnVRM" localSheetId="5">'PID-0101 (2)'!#REF!</definedName>
    <definedName name="mkcnVRM">#REF!</definedName>
    <definedName name="mkeobh165" localSheetId="2">'NF-2200-PID-01'!#REF!</definedName>
    <definedName name="mkeobh165" localSheetId="4">'PID-0101'!#REF!</definedName>
    <definedName name="mkeobh165" localSheetId="5">'PID-0101 (2)'!#REF!</definedName>
    <definedName name="mkeobh165">#REF!</definedName>
    <definedName name="mkeobh215" localSheetId="2">'NF-2200-PID-01'!#REF!</definedName>
    <definedName name="mkeobh215" localSheetId="4">'PID-0101'!#REF!</definedName>
    <definedName name="mkeobh215" localSheetId="5">'PID-0101 (2)'!#REF!</definedName>
    <definedName name="mkeobh215">#REF!</definedName>
    <definedName name="mkeobh28" localSheetId="2">'NF-2200-PID-01'!#REF!</definedName>
    <definedName name="mkeobh28" localSheetId="4">'PID-0101'!#REF!</definedName>
    <definedName name="mkeobh28" localSheetId="5">'PID-0101 (2)'!#REF!</definedName>
    <definedName name="mkeobh28">#REF!</definedName>
    <definedName name="mkeobh40" localSheetId="2">'NF-2200-PID-01'!#REF!</definedName>
    <definedName name="mkeobh40" localSheetId="4">'PID-0101'!#REF!</definedName>
    <definedName name="mkeobh40" localSheetId="5">'PID-0101 (2)'!#REF!</definedName>
    <definedName name="mkeobh40">#REF!</definedName>
    <definedName name="mkeobh50" localSheetId="2">'NF-2200-PID-01'!#REF!</definedName>
    <definedName name="mkeobh50" localSheetId="4">'PID-0101'!#REF!</definedName>
    <definedName name="mkeobh50" localSheetId="5">'PID-0101 (2)'!#REF!</definedName>
    <definedName name="mkeobh50">#REF!</definedName>
    <definedName name="mkeobh55" localSheetId="2">'NF-2200-PID-01'!#REF!</definedName>
    <definedName name="mkeobh55" localSheetId="4">'PID-0101'!#REF!</definedName>
    <definedName name="mkeobh55" localSheetId="5">'PID-0101 (2)'!#REF!</definedName>
    <definedName name="mkeobh55">#REF!</definedName>
    <definedName name="mkeobh60" localSheetId="2">'NF-2200-PID-01'!#REF!</definedName>
    <definedName name="mkeobh60" localSheetId="4">'PID-0101'!#REF!</definedName>
    <definedName name="mkeobh60" localSheetId="5">'PID-0101 (2)'!#REF!</definedName>
    <definedName name="mkeobh60">#REF!</definedName>
    <definedName name="mkeobh80" localSheetId="2">'NF-2200-PID-01'!#REF!</definedName>
    <definedName name="mkeobh80" localSheetId="4">'PID-0101'!#REF!</definedName>
    <definedName name="mkeobh80" localSheetId="5">'PID-0101 (2)'!#REF!</definedName>
    <definedName name="mkeobh80">#REF!</definedName>
    <definedName name="mkeobx108" localSheetId="2">'NF-2200-PID-01'!#REF!</definedName>
    <definedName name="mkeobx108" localSheetId="4">'PID-0101'!#REF!</definedName>
    <definedName name="mkeobx108" localSheetId="5">'PID-0101 (2)'!#REF!</definedName>
    <definedName name="mkeobx108">#REF!</definedName>
    <definedName name="mkeobx130" localSheetId="2">'NF-2200-PID-01'!#REF!</definedName>
    <definedName name="mkeobx130" localSheetId="4">'PID-0101'!#REF!</definedName>
    <definedName name="mkeobx130" localSheetId="5">'PID-0101 (2)'!#REF!</definedName>
    <definedName name="mkeobx130">#REF!</definedName>
    <definedName name="mkeobx45" localSheetId="2">'NF-2200-PID-01'!#REF!</definedName>
    <definedName name="mkeobx45" localSheetId="4">'PID-0101'!#REF!</definedName>
    <definedName name="mkeobx45" localSheetId="5">'PID-0101 (2)'!#REF!</definedName>
    <definedName name="mkeobx45">#REF!</definedName>
    <definedName name="mkeobx54" localSheetId="2">'NF-2200-PID-01'!#REF!</definedName>
    <definedName name="mkeobx54" localSheetId="4">'PID-0101'!#REF!</definedName>
    <definedName name="mkeobx54" localSheetId="5">'PID-0101 (2)'!#REF!</definedName>
    <definedName name="mkeobx54">#REF!</definedName>
    <definedName name="mkeobx60" localSheetId="2">'NF-2200-PID-01'!#REF!</definedName>
    <definedName name="mkeobx60" localSheetId="4">'PID-0101'!#REF!</definedName>
    <definedName name="mkeobx60" localSheetId="5">'PID-0101 (2)'!#REF!</definedName>
    <definedName name="mkeobx60">#REF!</definedName>
    <definedName name="mkeobx75" localSheetId="2">'NF-2200-PID-01'!#REF!</definedName>
    <definedName name="mkeobx75" localSheetId="4">'PID-0101'!#REF!</definedName>
    <definedName name="mkeobx75" localSheetId="5">'PID-0101 (2)'!#REF!</definedName>
    <definedName name="mkeobx75">#REF!</definedName>
    <definedName name="mkhoanbttay24" localSheetId="2">'NF-2200-PID-01'!#REF!</definedName>
    <definedName name="mkhoanbttay24" localSheetId="4">'PID-0101'!#REF!</definedName>
    <definedName name="mkhoanbttay24" localSheetId="5">'PID-0101 (2)'!#REF!</definedName>
    <definedName name="mkhoanbttay24">#REF!</definedName>
    <definedName name="mkhoanbttay30" localSheetId="2">'NF-2200-PID-01'!#REF!</definedName>
    <definedName name="mkhoanbttay30" localSheetId="4">'PID-0101'!#REF!</definedName>
    <definedName name="mkhoanbttay30" localSheetId="5">'PID-0101 (2)'!#REF!</definedName>
    <definedName name="mkhoanbttay30">#REF!</definedName>
    <definedName name="mkhoanbttay38" localSheetId="2">'NF-2200-PID-01'!#REF!</definedName>
    <definedName name="mkhoanbttay38" localSheetId="4">'PID-0101'!#REF!</definedName>
    <definedName name="mkhoanbttay38" localSheetId="5">'PID-0101 (2)'!#REF!</definedName>
    <definedName name="mkhoanbttay38">#REF!</definedName>
    <definedName name="mkhoanbttay40" localSheetId="2">'NF-2200-PID-01'!#REF!</definedName>
    <definedName name="mkhoanbttay40" localSheetId="4">'PID-0101'!#REF!</definedName>
    <definedName name="mkhoanbttay40" localSheetId="5">'PID-0101 (2)'!#REF!</definedName>
    <definedName name="mkhoanbttay40">#REF!</definedName>
    <definedName name="mkhoandatay30" localSheetId="2">'NF-2200-PID-01'!#REF!</definedName>
    <definedName name="mkhoandatay30" localSheetId="4">'PID-0101'!#REF!</definedName>
    <definedName name="mkhoandatay30" localSheetId="5">'PID-0101 (2)'!#REF!</definedName>
    <definedName name="mkhoandatay30">#REF!</definedName>
    <definedName name="mkhoandatay42" localSheetId="2">'NF-2200-PID-01'!#REF!</definedName>
    <definedName name="mkhoandatay42" localSheetId="4">'PID-0101'!#REF!</definedName>
    <definedName name="mkhoandatay42" localSheetId="5">'PID-0101 (2)'!#REF!</definedName>
    <definedName name="mkhoandatay42">#REF!</definedName>
    <definedName name="mkhoandung4.5" localSheetId="2">'NF-2200-PID-01'!#REF!</definedName>
    <definedName name="mkhoandung4.5" localSheetId="4">'PID-0101'!#REF!</definedName>
    <definedName name="mkhoandung4.5" localSheetId="5">'PID-0101 (2)'!#REF!</definedName>
    <definedName name="mkhoandung4.5">#REF!</definedName>
    <definedName name="mkhoansattay13" localSheetId="2">'NF-2200-PID-01'!#REF!</definedName>
    <definedName name="mkhoansattay13" localSheetId="4">'PID-0101'!#REF!</definedName>
    <definedName name="mkhoansattay13" localSheetId="5">'PID-0101 (2)'!#REF!</definedName>
    <definedName name="mkhoansattay13">#REF!</definedName>
    <definedName name="mkhoanxoayth110" localSheetId="2">'NF-2200-PID-01'!#REF!</definedName>
    <definedName name="mkhoanxoayth110" localSheetId="4">'PID-0101'!#REF!</definedName>
    <definedName name="mkhoanxoayth110" localSheetId="5">'PID-0101 (2)'!#REF!</definedName>
    <definedName name="mkhoanxoayth110">#REF!</definedName>
    <definedName name="mkhoanxoayth95" localSheetId="2">'NF-2200-PID-01'!#REF!</definedName>
    <definedName name="mkhoanxoayth95" localSheetId="4">'PID-0101'!#REF!</definedName>
    <definedName name="mkhoanxoayth95" localSheetId="5">'PID-0101 (2)'!#REF!</definedName>
    <definedName name="mkhoanxoayth95">#REF!</definedName>
    <definedName name="mkichck18" localSheetId="2">'NF-2200-PID-01'!#REF!</definedName>
    <definedName name="mkichck18" localSheetId="4">'PID-0101'!#REF!</definedName>
    <definedName name="mkichck18" localSheetId="5">'PID-0101 (2)'!#REF!</definedName>
    <definedName name="mkichck18">#REF!</definedName>
    <definedName name="mkichck250" localSheetId="2">'NF-2200-PID-01'!#REF!</definedName>
    <definedName name="mkichck250" localSheetId="4">'PID-0101'!#REF!</definedName>
    <definedName name="mkichck250" localSheetId="5">'PID-0101 (2)'!#REF!</definedName>
    <definedName name="mkichck250">#REF!</definedName>
    <definedName name="mkichday60" localSheetId="2">'NF-2200-PID-01'!#REF!</definedName>
    <definedName name="mkichday60" localSheetId="4">'PID-0101'!#REF!</definedName>
    <definedName name="mkichday60" localSheetId="5">'PID-0101 (2)'!#REF!</definedName>
    <definedName name="mkichday60">#REF!</definedName>
    <definedName name="mkichnang100" localSheetId="2">'NF-2200-PID-01'!#REF!</definedName>
    <definedName name="mkichnang100" localSheetId="4">'PID-0101'!#REF!</definedName>
    <definedName name="mkichnang100" localSheetId="5">'PID-0101 (2)'!#REF!</definedName>
    <definedName name="mkichnang100">#REF!</definedName>
    <definedName name="mkichnang250" localSheetId="2">'NF-2200-PID-01'!#REF!</definedName>
    <definedName name="mkichnang250" localSheetId="4">'PID-0101'!#REF!</definedName>
    <definedName name="mkichnang250" localSheetId="5">'PID-0101 (2)'!#REF!</definedName>
    <definedName name="mkichnang250">#REF!</definedName>
    <definedName name="mkichnang500" localSheetId="2">'NF-2200-PID-01'!#REF!</definedName>
    <definedName name="mkichnang500" localSheetId="4">'PID-0101'!#REF!</definedName>
    <definedName name="mkichnang500" localSheetId="5">'PID-0101 (2)'!#REF!</definedName>
    <definedName name="mkichnang500">#REF!</definedName>
    <definedName name="mluoncap15" localSheetId="2">'NF-2200-PID-01'!#REF!</definedName>
    <definedName name="mluoncap15" localSheetId="4">'PID-0101'!#REF!</definedName>
    <definedName name="mluoncap15" localSheetId="5">'PID-0101 (2)'!#REF!</definedName>
    <definedName name="mluoncap15">#REF!</definedName>
    <definedName name="mmai2.7" localSheetId="2">'NF-2200-PID-01'!#REF!</definedName>
    <definedName name="mmai2.7" localSheetId="4">'PID-0101'!#REF!</definedName>
    <definedName name="mmai2.7" localSheetId="5">'PID-0101 (2)'!#REF!</definedName>
    <definedName name="mmai2.7">#REF!</definedName>
    <definedName name="mnenkhid102" localSheetId="2">'NF-2200-PID-01'!#REF!</definedName>
    <definedName name="mnenkhid102" localSheetId="4">'PID-0101'!#REF!</definedName>
    <definedName name="mnenkhid102" localSheetId="5">'PID-0101 (2)'!#REF!</definedName>
    <definedName name="mnenkhid102">#REF!</definedName>
    <definedName name="mnenkhid120" localSheetId="2">'NF-2200-PID-01'!#REF!</definedName>
    <definedName name="mnenkhid120" localSheetId="4">'PID-0101'!#REF!</definedName>
    <definedName name="mnenkhid120" localSheetId="5">'PID-0101 (2)'!#REF!</definedName>
    <definedName name="mnenkhid120">#REF!</definedName>
    <definedName name="mnenkhid1200" localSheetId="2">'NF-2200-PID-01'!#REF!</definedName>
    <definedName name="mnenkhid1200" localSheetId="4">'PID-0101'!#REF!</definedName>
    <definedName name="mnenkhid1200" localSheetId="5">'PID-0101 (2)'!#REF!</definedName>
    <definedName name="mnenkhid1200">#REF!</definedName>
    <definedName name="mnenkhid200" localSheetId="2">'NF-2200-PID-01'!#REF!</definedName>
    <definedName name="mnenkhid200" localSheetId="4">'PID-0101'!#REF!</definedName>
    <definedName name="mnenkhid200" localSheetId="5">'PID-0101 (2)'!#REF!</definedName>
    <definedName name="mnenkhid200">#REF!</definedName>
    <definedName name="mnenkhid240" localSheetId="2">'NF-2200-PID-01'!#REF!</definedName>
    <definedName name="mnenkhid240" localSheetId="4">'PID-0101'!#REF!</definedName>
    <definedName name="mnenkhid240" localSheetId="5">'PID-0101 (2)'!#REF!</definedName>
    <definedName name="mnenkhid240">#REF!</definedName>
    <definedName name="mnenkhid300" localSheetId="2">'NF-2200-PID-01'!#REF!</definedName>
    <definedName name="mnenkhid300" localSheetId="4">'PID-0101'!#REF!</definedName>
    <definedName name="mnenkhid300" localSheetId="5">'PID-0101 (2)'!#REF!</definedName>
    <definedName name="mnenkhid300">#REF!</definedName>
    <definedName name="mnenkhid360" localSheetId="2">'NF-2200-PID-01'!#REF!</definedName>
    <definedName name="mnenkhid360" localSheetId="4">'PID-0101'!#REF!</definedName>
    <definedName name="mnenkhid360" localSheetId="5">'PID-0101 (2)'!#REF!</definedName>
    <definedName name="mnenkhid360">#REF!</definedName>
    <definedName name="mnenkhid5.5" localSheetId="2">'NF-2200-PID-01'!#REF!</definedName>
    <definedName name="mnenkhid5.5" localSheetId="4">'PID-0101'!#REF!</definedName>
    <definedName name="mnenkhid5.5" localSheetId="5">'PID-0101 (2)'!#REF!</definedName>
    <definedName name="mnenkhid5.5">#REF!</definedName>
    <definedName name="mnenkhid540" localSheetId="2">'NF-2200-PID-01'!#REF!</definedName>
    <definedName name="mnenkhid540" localSheetId="4">'PID-0101'!#REF!</definedName>
    <definedName name="mnenkhid540" localSheetId="5">'PID-0101 (2)'!#REF!</definedName>
    <definedName name="mnenkhid540">#REF!</definedName>
    <definedName name="mnenkhid600" localSheetId="2">'NF-2200-PID-01'!#REF!</definedName>
    <definedName name="mnenkhid600" localSheetId="4">'PID-0101'!#REF!</definedName>
    <definedName name="mnenkhid600" localSheetId="5">'PID-0101 (2)'!#REF!</definedName>
    <definedName name="mnenkhid600">#REF!</definedName>
    <definedName name="mnenkhid660" localSheetId="2">'NF-2200-PID-01'!#REF!</definedName>
    <definedName name="mnenkhid660" localSheetId="4">'PID-0101'!#REF!</definedName>
    <definedName name="mnenkhid660" localSheetId="5">'PID-0101 (2)'!#REF!</definedName>
    <definedName name="mnenkhid660">#REF!</definedName>
    <definedName name="mnenkhid75" localSheetId="2">'NF-2200-PID-01'!#REF!</definedName>
    <definedName name="mnenkhid75" localSheetId="4">'PID-0101'!#REF!</definedName>
    <definedName name="mnenkhid75" localSheetId="5">'PID-0101 (2)'!#REF!</definedName>
    <definedName name="mnenkhid75">#REF!</definedName>
    <definedName name="mnenkhidien10" localSheetId="2">'NF-2200-PID-01'!#REF!</definedName>
    <definedName name="mnenkhidien10" localSheetId="4">'PID-0101'!#REF!</definedName>
    <definedName name="mnenkhidien10" localSheetId="5">'PID-0101 (2)'!#REF!</definedName>
    <definedName name="mnenkhidien10">#REF!</definedName>
    <definedName name="mnenkhidien150" localSheetId="2">'NF-2200-PID-01'!#REF!</definedName>
    <definedName name="mnenkhidien150" localSheetId="4">'PID-0101'!#REF!</definedName>
    <definedName name="mnenkhidien150" localSheetId="5">'PID-0101 (2)'!#REF!</definedName>
    <definedName name="mnenkhidien150">#REF!</definedName>
    <definedName name="mnenkhidien216" localSheetId="2">'NF-2200-PID-01'!#REF!</definedName>
    <definedName name="mnenkhidien216" localSheetId="4">'PID-0101'!#REF!</definedName>
    <definedName name="mnenkhidien216" localSheetId="5">'PID-0101 (2)'!#REF!</definedName>
    <definedName name="mnenkhidien216">#REF!</definedName>
    <definedName name="mnenkhidien22" localSheetId="2">'NF-2200-PID-01'!#REF!</definedName>
    <definedName name="mnenkhidien22" localSheetId="4">'PID-0101'!#REF!</definedName>
    <definedName name="mnenkhidien22" localSheetId="5">'PID-0101 (2)'!#REF!</definedName>
    <definedName name="mnenkhidien22">#REF!</definedName>
    <definedName name="mnenkhidien270" localSheetId="2">'NF-2200-PID-01'!#REF!</definedName>
    <definedName name="mnenkhidien270" localSheetId="4">'PID-0101'!#REF!</definedName>
    <definedName name="mnenkhidien270" localSheetId="5">'PID-0101 (2)'!#REF!</definedName>
    <definedName name="mnenkhidien270">#REF!</definedName>
    <definedName name="mnenkhidien30" localSheetId="2">'NF-2200-PID-01'!#REF!</definedName>
    <definedName name="mnenkhidien30" localSheetId="4">'PID-0101'!#REF!</definedName>
    <definedName name="mnenkhidien30" localSheetId="5">'PID-0101 (2)'!#REF!</definedName>
    <definedName name="mnenkhidien30">#REF!</definedName>
    <definedName name="mnenkhidien300" localSheetId="2">'NF-2200-PID-01'!#REF!</definedName>
    <definedName name="mnenkhidien300" localSheetId="4">'PID-0101'!#REF!</definedName>
    <definedName name="mnenkhidien300" localSheetId="5">'PID-0101 (2)'!#REF!</definedName>
    <definedName name="mnenkhidien300">#REF!</definedName>
    <definedName name="mnenkhidien5" localSheetId="2">'NF-2200-PID-01'!#REF!</definedName>
    <definedName name="mnenkhidien5" localSheetId="4">'PID-0101'!#REF!</definedName>
    <definedName name="mnenkhidien5" localSheetId="5">'PID-0101 (2)'!#REF!</definedName>
    <definedName name="mnenkhidien5">#REF!</definedName>
    <definedName name="mnenkhidien56" localSheetId="2">'NF-2200-PID-01'!#REF!</definedName>
    <definedName name="mnenkhidien56" localSheetId="4">'PID-0101'!#REF!</definedName>
    <definedName name="mnenkhidien56" localSheetId="5">'PID-0101 (2)'!#REF!</definedName>
    <definedName name="mnenkhidien56">#REF!</definedName>
    <definedName name="mnenkhidien600" localSheetId="2">'NF-2200-PID-01'!#REF!</definedName>
    <definedName name="mnenkhidien600" localSheetId="4">'PID-0101'!#REF!</definedName>
    <definedName name="mnenkhidien600" localSheetId="5">'PID-0101 (2)'!#REF!</definedName>
    <definedName name="mnenkhidien600">#REF!</definedName>
    <definedName name="mnenkhixang11" localSheetId="2">'NF-2200-PID-01'!#REF!</definedName>
    <definedName name="mnenkhixang11" localSheetId="4">'PID-0101'!#REF!</definedName>
    <definedName name="mnenkhixang11" localSheetId="5">'PID-0101 (2)'!#REF!</definedName>
    <definedName name="mnenkhixang11">#REF!</definedName>
    <definedName name="mnenkhixang120" localSheetId="2">'NF-2200-PID-01'!#REF!</definedName>
    <definedName name="mnenkhixang120" localSheetId="4">'PID-0101'!#REF!</definedName>
    <definedName name="mnenkhixang120" localSheetId="5">'PID-0101 (2)'!#REF!</definedName>
    <definedName name="mnenkhixang120">#REF!</definedName>
    <definedName name="mnenkhixang200" localSheetId="2">'NF-2200-PID-01'!#REF!</definedName>
    <definedName name="mnenkhixang200" localSheetId="4">'PID-0101'!#REF!</definedName>
    <definedName name="mnenkhixang200" localSheetId="5">'PID-0101 (2)'!#REF!</definedName>
    <definedName name="mnenkhixang200">#REF!</definedName>
    <definedName name="mnenkhixang25" localSheetId="2">'NF-2200-PID-01'!#REF!</definedName>
    <definedName name="mnenkhixang25" localSheetId="4">'PID-0101'!#REF!</definedName>
    <definedName name="mnenkhixang25" localSheetId="5">'PID-0101 (2)'!#REF!</definedName>
    <definedName name="mnenkhixang25">#REF!</definedName>
    <definedName name="mnenkhixang3" localSheetId="2">'NF-2200-PID-01'!#REF!</definedName>
    <definedName name="mnenkhixang3" localSheetId="4">'PID-0101'!#REF!</definedName>
    <definedName name="mnenkhixang3" localSheetId="5">'PID-0101 (2)'!#REF!</definedName>
    <definedName name="mnenkhixang3">#REF!</definedName>
    <definedName name="mnenkhixang300" localSheetId="2">'NF-2200-PID-01'!#REF!</definedName>
    <definedName name="mnenkhixang300" localSheetId="4">'PID-0101'!#REF!</definedName>
    <definedName name="mnenkhixang300" localSheetId="5">'PID-0101 (2)'!#REF!</definedName>
    <definedName name="mnenkhixang300">#REF!</definedName>
    <definedName name="mnenkhixang40" localSheetId="2">'NF-2200-PID-01'!#REF!</definedName>
    <definedName name="mnenkhixang40" localSheetId="4">'PID-0101'!#REF!</definedName>
    <definedName name="mnenkhixang40" localSheetId="5">'PID-0101 (2)'!#REF!</definedName>
    <definedName name="mnenkhixang40">#REF!</definedName>
    <definedName name="mnenkhixang600" localSheetId="2">'NF-2200-PID-01'!#REF!</definedName>
    <definedName name="mnenkhixang600" localSheetId="4">'PID-0101'!#REF!</definedName>
    <definedName name="mnenkhixang600" localSheetId="5">'PID-0101 (2)'!#REF!</definedName>
    <definedName name="mnenkhixang600">#REF!</definedName>
    <definedName name="mnghiendad25" localSheetId="2">'NF-2200-PID-01'!#REF!</definedName>
    <definedName name="mnghiendad25" localSheetId="4">'PID-0101'!#REF!</definedName>
    <definedName name="mnghiendad25" localSheetId="5">'PID-0101 (2)'!#REF!</definedName>
    <definedName name="mnghiendad25">#REF!</definedName>
    <definedName name="mnghiendadd20" localSheetId="2">'NF-2200-PID-01'!#REF!</definedName>
    <definedName name="mnghiendadd20" localSheetId="4">'PID-0101'!#REF!</definedName>
    <definedName name="mnghiendadd20" localSheetId="5">'PID-0101 (2)'!#REF!</definedName>
    <definedName name="mnghiendadd20">#REF!</definedName>
    <definedName name="mnghiendadd6" localSheetId="2">'NF-2200-PID-01'!#REF!</definedName>
    <definedName name="mnghiendadd6" localSheetId="4">'PID-0101'!#REF!</definedName>
    <definedName name="mnghiendadd6" localSheetId="5">'PID-0101 (2)'!#REF!</definedName>
    <definedName name="mnghiendadd6">#REF!</definedName>
    <definedName name="mnghiendatho14" localSheetId="2">'NF-2200-PID-01'!#REF!</definedName>
    <definedName name="mnghiendatho14" localSheetId="4">'PID-0101'!#REF!</definedName>
    <definedName name="mnghiendatho14" localSheetId="5">'PID-0101 (2)'!#REF!</definedName>
    <definedName name="mnghiendatho14">#REF!</definedName>
    <definedName name="mnghiendatho200" localSheetId="2">'NF-2200-PID-01'!#REF!</definedName>
    <definedName name="mnghiendatho200" localSheetId="4">'PID-0101'!#REF!</definedName>
    <definedName name="mnghiendatho200" localSheetId="5">'PID-0101 (2)'!#REF!</definedName>
    <definedName name="mnghiendatho200">#REF!</definedName>
    <definedName name="mnhogcaydk100" localSheetId="2">'NF-2200-PID-01'!#REF!</definedName>
    <definedName name="mnhogcaydk100" localSheetId="4">'PID-0101'!#REF!</definedName>
    <definedName name="mnhogcaydk100" localSheetId="5">'PID-0101 (2)'!#REF!</definedName>
    <definedName name="mnhogcaydk100">#REF!</definedName>
    <definedName name="mnhogcaydk54" localSheetId="2">'NF-2200-PID-01'!#REF!</definedName>
    <definedName name="mnhogcaydk54" localSheetId="4">'PID-0101'!#REF!</definedName>
    <definedName name="mnhogcaydk54" localSheetId="5">'PID-0101 (2)'!#REF!</definedName>
    <definedName name="mnhogcaydk54">#REF!</definedName>
    <definedName name="mnhogcaydk75" localSheetId="2">'NF-2200-PID-01'!#REF!</definedName>
    <definedName name="mnhogcaydk75" localSheetId="4">'PID-0101'!#REF!</definedName>
    <definedName name="mnhogcaydk75" localSheetId="5">'PID-0101 (2)'!#REF!</definedName>
    <definedName name="mnhogcaydk75">#REF!</definedName>
    <definedName name="Module1.UNITOK" localSheetId="2">[5]!Module1.UNITOK</definedName>
    <definedName name="Module1.UNITOK" localSheetId="3">#REF!</definedName>
    <definedName name="Module1.UNITOK" localSheetId="4">[5]!Module1.UNITOK</definedName>
    <definedName name="Module1.UNITOK" localSheetId="5">[5]!Module1.UNITOK</definedName>
    <definedName name="Module1.UNITOK">[5]!Module1.UNITOK</definedName>
    <definedName name="morita" localSheetId="2">'NF-2200-PID-01'!#REF!</definedName>
    <definedName name="morita" localSheetId="4">'PID-0101'!#REF!</definedName>
    <definedName name="morita" localSheetId="5">'PID-0101 (2)'!#REF!</definedName>
    <definedName name="morita">#REF!</definedName>
    <definedName name="moritavn" localSheetId="2">'NF-2200-PID-01'!#REF!</definedName>
    <definedName name="moritavn" localSheetId="4">'PID-0101'!#REF!</definedName>
    <definedName name="moritavn" localSheetId="5">'PID-0101 (2)'!#REF!</definedName>
    <definedName name="moritavn">#REF!</definedName>
    <definedName name="motodk150" localSheetId="2">'NF-2200-PID-01'!#REF!</definedName>
    <definedName name="motodk150" localSheetId="4">'PID-0101'!#REF!</definedName>
    <definedName name="motodk150" localSheetId="5">'PID-0101 (2)'!#REF!</definedName>
    <definedName name="motodk150">#REF!</definedName>
    <definedName name="motodk180" localSheetId="2">'NF-2200-PID-01'!#REF!</definedName>
    <definedName name="motodk180" localSheetId="4">'PID-0101'!#REF!</definedName>
    <definedName name="motodk180" localSheetId="5">'PID-0101 (2)'!#REF!</definedName>
    <definedName name="motodk180">#REF!</definedName>
    <definedName name="motodk200" localSheetId="2">'NF-2200-PID-01'!#REF!</definedName>
    <definedName name="motodk200" localSheetId="4">'PID-0101'!#REF!</definedName>
    <definedName name="motodk200" localSheetId="5">'PID-0101 (2)'!#REF!</definedName>
    <definedName name="motodk200">#REF!</definedName>
    <definedName name="motodk240" localSheetId="2">'NF-2200-PID-01'!#REF!</definedName>
    <definedName name="motodk240" localSheetId="4">'PID-0101'!#REF!</definedName>
    <definedName name="motodk240" localSheetId="5">'PID-0101 (2)'!#REF!</definedName>
    <definedName name="motodk240">#REF!</definedName>
    <definedName name="motodk255" localSheetId="2">'NF-2200-PID-01'!#REF!</definedName>
    <definedName name="motodk255" localSheetId="4">'PID-0101'!#REF!</definedName>
    <definedName name="motodk255" localSheetId="5">'PID-0101 (2)'!#REF!</definedName>
    <definedName name="motodk255">#REF!</definedName>
    <definedName name="motodk272" localSheetId="2">'NF-2200-PID-01'!#REF!</definedName>
    <definedName name="motodk272" localSheetId="4">'PID-0101'!#REF!</definedName>
    <definedName name="motodk272" localSheetId="5">'PID-0101 (2)'!#REF!</definedName>
    <definedName name="motodk272">#REF!</definedName>
    <definedName name="motothung10" localSheetId="2">'NF-2200-PID-01'!#REF!</definedName>
    <definedName name="motothung10" localSheetId="4">'PID-0101'!#REF!</definedName>
    <definedName name="motothung10" localSheetId="5">'PID-0101 (2)'!#REF!</definedName>
    <definedName name="motothung10">#REF!</definedName>
    <definedName name="motothung12" localSheetId="2">'NF-2200-PID-01'!#REF!</definedName>
    <definedName name="motothung12" localSheetId="4">'PID-0101'!#REF!</definedName>
    <definedName name="motothung12" localSheetId="5">'PID-0101 (2)'!#REF!</definedName>
    <definedName name="motothung12">#REF!</definedName>
    <definedName name="motothung12.5" localSheetId="2">'NF-2200-PID-01'!#REF!</definedName>
    <definedName name="motothung12.5" localSheetId="4">'PID-0101'!#REF!</definedName>
    <definedName name="motothung12.5" localSheetId="5">'PID-0101 (2)'!#REF!</definedName>
    <definedName name="motothung12.5">#REF!</definedName>
    <definedName name="motothung2" localSheetId="2">'NF-2200-PID-01'!#REF!</definedName>
    <definedName name="motothung2" localSheetId="4">'PID-0101'!#REF!</definedName>
    <definedName name="motothung2" localSheetId="5">'PID-0101 (2)'!#REF!</definedName>
    <definedName name="motothung2">#REF!</definedName>
    <definedName name="motothung2.5" localSheetId="2">'NF-2200-PID-01'!#REF!</definedName>
    <definedName name="motothung2.5" localSheetId="4">'PID-0101'!#REF!</definedName>
    <definedName name="motothung2.5" localSheetId="5">'PID-0101 (2)'!#REF!</definedName>
    <definedName name="motothung2.5">#REF!</definedName>
    <definedName name="motothung20" localSheetId="2">'NF-2200-PID-01'!#REF!</definedName>
    <definedName name="motothung20" localSheetId="4">'PID-0101'!#REF!</definedName>
    <definedName name="motothung20" localSheetId="5">'PID-0101 (2)'!#REF!</definedName>
    <definedName name="motothung20">#REF!</definedName>
    <definedName name="motothung4" localSheetId="2">'NF-2200-PID-01'!#REF!</definedName>
    <definedName name="motothung4" localSheetId="4">'PID-0101'!#REF!</definedName>
    <definedName name="motothung4" localSheetId="5">'PID-0101 (2)'!#REF!</definedName>
    <definedName name="motothung4">#REF!</definedName>
    <definedName name="motothung5" localSheetId="2">'NF-2200-PID-01'!#REF!</definedName>
    <definedName name="motothung5" localSheetId="4">'PID-0101'!#REF!</definedName>
    <definedName name="motothung5" localSheetId="5">'PID-0101 (2)'!#REF!</definedName>
    <definedName name="motothung5">#REF!</definedName>
    <definedName name="motothung6" localSheetId="2">'NF-2200-PID-01'!#REF!</definedName>
    <definedName name="motothung6" localSheetId="4">'PID-0101'!#REF!</definedName>
    <definedName name="motothung6" localSheetId="5">'PID-0101 (2)'!#REF!</definedName>
    <definedName name="motothung6">#REF!</definedName>
    <definedName name="motothung7" localSheetId="2">'NF-2200-PID-01'!#REF!</definedName>
    <definedName name="motothung7" localSheetId="4">'PID-0101'!#REF!</definedName>
    <definedName name="motothung7" localSheetId="5">'PID-0101 (2)'!#REF!</definedName>
    <definedName name="motothung7">#REF!</definedName>
    <definedName name="mototnuoc4" localSheetId="2">'NF-2200-PID-01'!#REF!</definedName>
    <definedName name="mototnuoc4" localSheetId="4">'PID-0101'!#REF!</definedName>
    <definedName name="mototnuoc4" localSheetId="5">'PID-0101 (2)'!#REF!</definedName>
    <definedName name="mototnuoc4">#REF!</definedName>
    <definedName name="mototnuoc5" localSheetId="2">'NF-2200-PID-01'!#REF!</definedName>
    <definedName name="mototnuoc5" localSheetId="4">'PID-0101'!#REF!</definedName>
    <definedName name="mototnuoc5" localSheetId="5">'PID-0101 (2)'!#REF!</definedName>
    <definedName name="mototnuoc5">#REF!</definedName>
    <definedName name="mototnuoc6" localSheetId="2">'NF-2200-PID-01'!#REF!</definedName>
    <definedName name="mototnuoc6" localSheetId="4">'PID-0101'!#REF!</definedName>
    <definedName name="mototnuoc6" localSheetId="5">'PID-0101 (2)'!#REF!</definedName>
    <definedName name="mototnuoc6">#REF!</definedName>
    <definedName name="mototnuoc7" localSheetId="2">'NF-2200-PID-01'!#REF!</definedName>
    <definedName name="mototnuoc7" localSheetId="4">'PID-0101'!#REF!</definedName>
    <definedName name="mototnuoc7" localSheetId="5">'PID-0101 (2)'!#REF!</definedName>
    <definedName name="mototnuoc7">#REF!</definedName>
    <definedName name="mototudo10" localSheetId="2">'NF-2200-PID-01'!#REF!</definedName>
    <definedName name="mototudo10" localSheetId="4">'PID-0101'!#REF!</definedName>
    <definedName name="mototudo10" localSheetId="5">'PID-0101 (2)'!#REF!</definedName>
    <definedName name="mototudo10">#REF!</definedName>
    <definedName name="mototudo12" localSheetId="2">'NF-2200-PID-01'!#REF!</definedName>
    <definedName name="mototudo12" localSheetId="4">'PID-0101'!#REF!</definedName>
    <definedName name="mototudo12" localSheetId="5">'PID-0101 (2)'!#REF!</definedName>
    <definedName name="mototudo12">#REF!</definedName>
    <definedName name="mototudo15" localSheetId="2">'NF-2200-PID-01'!#REF!</definedName>
    <definedName name="mototudo15" localSheetId="4">'PID-0101'!#REF!</definedName>
    <definedName name="mototudo15" localSheetId="5">'PID-0101 (2)'!#REF!</definedName>
    <definedName name="mototudo15">#REF!</definedName>
    <definedName name="mototudo2.5" localSheetId="2">'NF-2200-PID-01'!#REF!</definedName>
    <definedName name="mototudo2.5" localSheetId="4">'PID-0101'!#REF!</definedName>
    <definedName name="mototudo2.5" localSheetId="5">'PID-0101 (2)'!#REF!</definedName>
    <definedName name="mototudo2.5">#REF!</definedName>
    <definedName name="mototudo20" localSheetId="2">'NF-2200-PID-01'!#REF!</definedName>
    <definedName name="mototudo20" localSheetId="4">'PID-0101'!#REF!</definedName>
    <definedName name="mototudo20" localSheetId="5">'PID-0101 (2)'!#REF!</definedName>
    <definedName name="mototudo20">#REF!</definedName>
    <definedName name="mototudo25" localSheetId="2">'NF-2200-PID-01'!#REF!</definedName>
    <definedName name="mototudo25" localSheetId="4">'PID-0101'!#REF!</definedName>
    <definedName name="mototudo25" localSheetId="5">'PID-0101 (2)'!#REF!</definedName>
    <definedName name="mototudo25">#REF!</definedName>
    <definedName name="mototudo27" localSheetId="2">'NF-2200-PID-01'!#REF!</definedName>
    <definedName name="mototudo27" localSheetId="4">'PID-0101'!#REF!</definedName>
    <definedName name="mototudo27" localSheetId="5">'PID-0101 (2)'!#REF!</definedName>
    <definedName name="mototudo27">#REF!</definedName>
    <definedName name="mototudo3.5" localSheetId="2">'NF-2200-PID-01'!#REF!</definedName>
    <definedName name="mototudo3.5" localSheetId="4">'PID-0101'!#REF!</definedName>
    <definedName name="mototudo3.5" localSheetId="5">'PID-0101 (2)'!#REF!</definedName>
    <definedName name="mototudo3.5">#REF!</definedName>
    <definedName name="mototudo4" localSheetId="2">'NF-2200-PID-01'!#REF!</definedName>
    <definedName name="mototudo4" localSheetId="4">'PID-0101'!#REF!</definedName>
    <definedName name="mototudo4" localSheetId="5">'PID-0101 (2)'!#REF!</definedName>
    <definedName name="mototudo4">#REF!</definedName>
    <definedName name="mototudo5" localSheetId="2">'NF-2200-PID-01'!#REF!</definedName>
    <definedName name="mototudo5" localSheetId="4">'PID-0101'!#REF!</definedName>
    <definedName name="mototudo5" localSheetId="5">'PID-0101 (2)'!#REF!</definedName>
    <definedName name="mototudo5">#REF!</definedName>
    <definedName name="mototudo6" localSheetId="2">'NF-2200-PID-01'!#REF!</definedName>
    <definedName name="mototudo6" localSheetId="4">'PID-0101'!#REF!</definedName>
    <definedName name="mototudo6" localSheetId="5">'PID-0101 (2)'!#REF!</definedName>
    <definedName name="mototudo6">#REF!</definedName>
    <definedName name="mototudo7" localSheetId="2">'NF-2200-PID-01'!#REF!</definedName>
    <definedName name="mototudo7" localSheetId="4">'PID-0101'!#REF!</definedName>
    <definedName name="mototudo7" localSheetId="5">'PID-0101 (2)'!#REF!</definedName>
    <definedName name="mototudo7">#REF!</definedName>
    <definedName name="mototudo9" localSheetId="2">'NF-2200-PID-01'!#REF!</definedName>
    <definedName name="mototudo9" localSheetId="4">'PID-0101'!#REF!</definedName>
    <definedName name="mototudo9" localSheetId="5">'PID-0101 (2)'!#REF!</definedName>
    <definedName name="mototudo9">#REF!</definedName>
    <definedName name="motovcbt6" localSheetId="2">'NF-2200-PID-01'!#REF!</definedName>
    <definedName name="motovcbt6" localSheetId="4">'PID-0101'!#REF!</definedName>
    <definedName name="motovcbt6" localSheetId="5">'PID-0101 (2)'!#REF!</definedName>
    <definedName name="motovcbt6">#REF!</definedName>
    <definedName name="mpha250" localSheetId="2">'NF-2200-PID-01'!#REF!</definedName>
    <definedName name="mpha250" localSheetId="4">'PID-0101'!#REF!</definedName>
    <definedName name="mpha250" localSheetId="5">'PID-0101 (2)'!#REF!</definedName>
    <definedName name="mpha250">#REF!</definedName>
    <definedName name="mphaothep10" localSheetId="2">'NF-2200-PID-01'!#REF!</definedName>
    <definedName name="mphaothep10" localSheetId="4">'PID-0101'!#REF!</definedName>
    <definedName name="mphaothep10" localSheetId="5">'PID-0101 (2)'!#REF!</definedName>
    <definedName name="mphaothep10">#REF!</definedName>
    <definedName name="mphaothep15" localSheetId="2">'NF-2200-PID-01'!#REF!</definedName>
    <definedName name="mphaothep15" localSheetId="4">'PID-0101'!#REF!</definedName>
    <definedName name="mphaothep15" localSheetId="5">'PID-0101 (2)'!#REF!</definedName>
    <definedName name="mphaothep15">#REF!</definedName>
    <definedName name="mphatdienld10" localSheetId="2">'NF-2200-PID-01'!#REF!</definedName>
    <definedName name="mphatdienld10" localSheetId="4">'PID-0101'!#REF!</definedName>
    <definedName name="mphatdienld10" localSheetId="5">'PID-0101 (2)'!#REF!</definedName>
    <definedName name="mphatdienld10">#REF!</definedName>
    <definedName name="mphatdienld112" localSheetId="2">'NF-2200-PID-01'!#REF!</definedName>
    <definedName name="mphatdienld112" localSheetId="4">'PID-0101'!#REF!</definedName>
    <definedName name="mphatdienld112" localSheetId="5">'PID-0101 (2)'!#REF!</definedName>
    <definedName name="mphatdienld112">#REF!</definedName>
    <definedName name="mphatdienld122" localSheetId="2">'NF-2200-PID-01'!#REF!</definedName>
    <definedName name="mphatdienld122" localSheetId="4">'PID-0101'!#REF!</definedName>
    <definedName name="mphatdienld122" localSheetId="5">'PID-0101 (2)'!#REF!</definedName>
    <definedName name="mphatdienld122">#REF!</definedName>
    <definedName name="mphatdienld15" localSheetId="2">'NF-2200-PID-01'!#REF!</definedName>
    <definedName name="mphatdienld15" localSheetId="4">'PID-0101'!#REF!</definedName>
    <definedName name="mphatdienld15" localSheetId="5">'PID-0101 (2)'!#REF!</definedName>
    <definedName name="mphatdienld15">#REF!</definedName>
    <definedName name="mphatdienld20" localSheetId="2">'NF-2200-PID-01'!#REF!</definedName>
    <definedName name="mphatdienld20" localSheetId="4">'PID-0101'!#REF!</definedName>
    <definedName name="mphatdienld20" localSheetId="5">'PID-0101 (2)'!#REF!</definedName>
    <definedName name="mphatdienld20">#REF!</definedName>
    <definedName name="mphatdienld25" localSheetId="2">'NF-2200-PID-01'!#REF!</definedName>
    <definedName name="mphatdienld25" localSheetId="4">'PID-0101'!#REF!</definedName>
    <definedName name="mphatdienld25" localSheetId="5">'PID-0101 (2)'!#REF!</definedName>
    <definedName name="mphatdienld25">#REF!</definedName>
    <definedName name="mphatdienld30" localSheetId="2">'NF-2200-PID-01'!#REF!</definedName>
    <definedName name="mphatdienld30" localSheetId="4">'PID-0101'!#REF!</definedName>
    <definedName name="mphatdienld30" localSheetId="5">'PID-0101 (2)'!#REF!</definedName>
    <definedName name="mphatdienld30">#REF!</definedName>
    <definedName name="mphatdienld38" localSheetId="2">'NF-2200-PID-01'!#REF!</definedName>
    <definedName name="mphatdienld38" localSheetId="4">'PID-0101'!#REF!</definedName>
    <definedName name="mphatdienld38" localSheetId="5">'PID-0101 (2)'!#REF!</definedName>
    <definedName name="mphatdienld38">#REF!</definedName>
    <definedName name="mphatdienld45" localSheetId="2">'NF-2200-PID-01'!#REF!</definedName>
    <definedName name="mphatdienld45" localSheetId="4">'PID-0101'!#REF!</definedName>
    <definedName name="mphatdienld45" localSheetId="5">'PID-0101 (2)'!#REF!</definedName>
    <definedName name="mphatdienld45">#REF!</definedName>
    <definedName name="mphatdienld5.2" localSheetId="2">'NF-2200-PID-01'!#REF!</definedName>
    <definedName name="mphatdienld5.2" localSheetId="4">'PID-0101'!#REF!</definedName>
    <definedName name="mphatdienld5.2" localSheetId="5">'PID-0101 (2)'!#REF!</definedName>
    <definedName name="mphatdienld5.2">#REF!</definedName>
    <definedName name="mphatdienld50" localSheetId="2">'NF-2200-PID-01'!#REF!</definedName>
    <definedName name="mphatdienld50" localSheetId="4">'PID-0101'!#REF!</definedName>
    <definedName name="mphatdienld50" localSheetId="5">'PID-0101 (2)'!#REF!</definedName>
    <definedName name="mphatdienld50">#REF!</definedName>
    <definedName name="mphatdienld60" localSheetId="2">'NF-2200-PID-01'!#REF!</definedName>
    <definedName name="mphatdienld60" localSheetId="4">'PID-0101'!#REF!</definedName>
    <definedName name="mphatdienld60" localSheetId="5">'PID-0101 (2)'!#REF!</definedName>
    <definedName name="mphatdienld60">#REF!</definedName>
    <definedName name="mphatdienld75" localSheetId="2">'NF-2200-PID-01'!#REF!</definedName>
    <definedName name="mphatdienld75" localSheetId="4">'PID-0101'!#REF!</definedName>
    <definedName name="mphatdienld75" localSheetId="5">'PID-0101 (2)'!#REF!</definedName>
    <definedName name="mphatdienld75">#REF!</definedName>
    <definedName name="mphatdienld8" localSheetId="2">'NF-2200-PID-01'!#REF!</definedName>
    <definedName name="mphatdienld8" localSheetId="4">'PID-0101'!#REF!</definedName>
    <definedName name="mphatdienld8" localSheetId="5">'PID-0101 (2)'!#REF!</definedName>
    <definedName name="mphatdienld8">#REF!</definedName>
    <definedName name="mphunson400" localSheetId="2">'NF-2200-PID-01'!#REF!</definedName>
    <definedName name="mphunson400" localSheetId="4">'PID-0101'!#REF!</definedName>
    <definedName name="mphunson400" localSheetId="5">'PID-0101 (2)'!#REF!</definedName>
    <definedName name="mphunson400">#REF!</definedName>
    <definedName name="mphunvua2" localSheetId="2">'NF-2200-PID-01'!#REF!</definedName>
    <definedName name="mphunvua2" localSheetId="4">'PID-0101'!#REF!</definedName>
    <definedName name="mphunvua2" localSheetId="5">'PID-0101 (2)'!#REF!</definedName>
    <definedName name="mphunvua2">#REF!</definedName>
    <definedName name="mphunvua4" localSheetId="2">'NF-2200-PID-01'!#REF!</definedName>
    <definedName name="mphunvua4" localSheetId="4">'PID-0101'!#REF!</definedName>
    <definedName name="mphunvua4" localSheetId="5">'PID-0101 (2)'!#REF!</definedName>
    <definedName name="mphunvua4">#REF!</definedName>
    <definedName name="mraibtsp500" localSheetId="2">'NF-2200-PID-01'!#REF!</definedName>
    <definedName name="mraibtsp500" localSheetId="4">'PID-0101'!#REF!</definedName>
    <definedName name="mraibtsp500" localSheetId="5">'PID-0101 (2)'!#REF!</definedName>
    <definedName name="mraibtsp500">#REF!</definedName>
    <definedName name="mraintn100" localSheetId="2">'NF-2200-PID-01'!#REF!</definedName>
    <definedName name="mraintn100" localSheetId="4">'PID-0101'!#REF!</definedName>
    <definedName name="mraintn100" localSheetId="5">'PID-0101 (2)'!#REF!</definedName>
    <definedName name="mraintn100">#REF!</definedName>
    <definedName name="mraintn65" localSheetId="2">'NF-2200-PID-01'!#REF!</definedName>
    <definedName name="mraintn65" localSheetId="4">'PID-0101'!#REF!</definedName>
    <definedName name="mraintn65" localSheetId="5">'PID-0101 (2)'!#REF!</definedName>
    <definedName name="mraintn65">#REF!</definedName>
    <definedName name="mromooc14" localSheetId="2">'NF-2200-PID-01'!#REF!</definedName>
    <definedName name="mromooc14" localSheetId="4">'PID-0101'!#REF!</definedName>
    <definedName name="mromooc14" localSheetId="5">'PID-0101 (2)'!#REF!</definedName>
    <definedName name="mromooc14">#REF!</definedName>
    <definedName name="mromooc15" localSheetId="2">'NF-2200-PID-01'!#REF!</definedName>
    <definedName name="mromooc15" localSheetId="4">'PID-0101'!#REF!</definedName>
    <definedName name="mromooc15" localSheetId="5">'PID-0101 (2)'!#REF!</definedName>
    <definedName name="mromooc15">#REF!</definedName>
    <definedName name="mromooc2" localSheetId="2">'NF-2200-PID-01'!#REF!</definedName>
    <definedName name="mromooc2" localSheetId="4">'PID-0101'!#REF!</definedName>
    <definedName name="mromooc2" localSheetId="5">'PID-0101 (2)'!#REF!</definedName>
    <definedName name="mromooc2">#REF!</definedName>
    <definedName name="mromooc21" localSheetId="2">'NF-2200-PID-01'!#REF!</definedName>
    <definedName name="mromooc21" localSheetId="4">'PID-0101'!#REF!</definedName>
    <definedName name="mromooc21" localSheetId="5">'PID-0101 (2)'!#REF!</definedName>
    <definedName name="mromooc21">#REF!</definedName>
    <definedName name="mromooc4" localSheetId="2">'NF-2200-PID-01'!#REF!</definedName>
    <definedName name="mromooc4" localSheetId="4">'PID-0101'!#REF!</definedName>
    <definedName name="mromooc4" localSheetId="5">'PID-0101 (2)'!#REF!</definedName>
    <definedName name="mromooc4">#REF!</definedName>
    <definedName name="mromooc7.5" localSheetId="2">'NF-2200-PID-01'!#REF!</definedName>
    <definedName name="mromooc7.5" localSheetId="4">'PID-0101'!#REF!</definedName>
    <definedName name="mromooc7.5" localSheetId="5">'PID-0101 (2)'!#REF!</definedName>
    <definedName name="mromooc7.5">#REF!</definedName>
    <definedName name="msangbentontie1" localSheetId="2">'NF-2200-PID-01'!#REF!</definedName>
    <definedName name="msangbentontie1" localSheetId="4">'PID-0101'!#REF!</definedName>
    <definedName name="msangbentontie1" localSheetId="5">'PID-0101 (2)'!#REF!</definedName>
    <definedName name="msangbentontie1">#REF!</definedName>
    <definedName name="msangruada11" localSheetId="2">'NF-2200-PID-01'!#REF!</definedName>
    <definedName name="msangruada11" localSheetId="4">'PID-0101'!#REF!</definedName>
    <definedName name="msangruada11" localSheetId="5">'PID-0101 (2)'!#REF!</definedName>
    <definedName name="msangruada11">#REF!</definedName>
    <definedName name="msangruada35" localSheetId="2">'NF-2200-PID-01'!#REF!</definedName>
    <definedName name="msangruada35" localSheetId="4">'PID-0101'!#REF!</definedName>
    <definedName name="msangruada35" localSheetId="5">'PID-0101 (2)'!#REF!</definedName>
    <definedName name="msangruada35">#REF!</definedName>
    <definedName name="msangruada45" localSheetId="2">'NF-2200-PID-01'!#REF!</definedName>
    <definedName name="msangruada45" localSheetId="4">'PID-0101'!#REF!</definedName>
    <definedName name="msangruada45" localSheetId="5">'PID-0101 (2)'!#REF!</definedName>
    <definedName name="msangruada45">#REF!</definedName>
    <definedName name="msanth108" localSheetId="2">'NF-2200-PID-01'!#REF!</definedName>
    <definedName name="msanth108" localSheetId="4">'PID-0101'!#REF!</definedName>
    <definedName name="msanth108" localSheetId="5">'PID-0101 (2)'!#REF!</definedName>
    <definedName name="msanth108">#REF!</definedName>
    <definedName name="msanth180" localSheetId="2">'NF-2200-PID-01'!#REF!</definedName>
    <definedName name="msanth180" localSheetId="4">'PID-0101'!#REF!</definedName>
    <definedName name="msanth180" localSheetId="5">'PID-0101 (2)'!#REF!</definedName>
    <definedName name="msanth180">#REF!</definedName>
    <definedName name="msanth250" localSheetId="2">'NF-2200-PID-01'!#REF!</definedName>
    <definedName name="msanth250" localSheetId="4">'PID-0101'!#REF!</definedName>
    <definedName name="msanth250" localSheetId="5">'PID-0101 (2)'!#REF!</definedName>
    <definedName name="msanth250">#REF!</definedName>
    <definedName name="msanth54" localSheetId="2">'NF-2200-PID-01'!#REF!</definedName>
    <definedName name="msanth54" localSheetId="4">'PID-0101'!#REF!</definedName>
    <definedName name="msanth54" localSheetId="5">'PID-0101 (2)'!#REF!</definedName>
    <definedName name="msanth54">#REF!</definedName>
    <definedName name="msanth90" localSheetId="2">'NF-2200-PID-01'!#REF!</definedName>
    <definedName name="msanth90" localSheetId="4">'PID-0101'!#REF!</definedName>
    <definedName name="msanth90" localSheetId="5">'PID-0101 (2)'!#REF!</definedName>
    <definedName name="msanth90">#REF!</definedName>
    <definedName name="mtaukeo150" localSheetId="2">'NF-2200-PID-01'!#REF!</definedName>
    <definedName name="mtaukeo150" localSheetId="4">'PID-0101'!#REF!</definedName>
    <definedName name="mtaukeo150" localSheetId="5">'PID-0101 (2)'!#REF!</definedName>
    <definedName name="mtaukeo150">#REF!</definedName>
    <definedName name="mtaukeo360" localSheetId="2">'NF-2200-PID-01'!#REF!</definedName>
    <definedName name="mtaukeo360" localSheetId="4">'PID-0101'!#REF!</definedName>
    <definedName name="mtaukeo360" localSheetId="5">'PID-0101 (2)'!#REF!</definedName>
    <definedName name="mtaukeo360">#REF!</definedName>
    <definedName name="mtaukeo600" localSheetId="2">'NF-2200-PID-01'!#REF!</definedName>
    <definedName name="mtaukeo600" localSheetId="4">'PID-0101'!#REF!</definedName>
    <definedName name="mtaukeo600" localSheetId="5">'PID-0101 (2)'!#REF!</definedName>
    <definedName name="mtaukeo600">#REF!</definedName>
    <definedName name="mtbipvlan150" localSheetId="2">'NF-2200-PID-01'!#REF!</definedName>
    <definedName name="mtbipvlan150" localSheetId="4">'PID-0101'!#REF!</definedName>
    <definedName name="mtbipvlan150" localSheetId="5">'PID-0101 (2)'!#REF!</definedName>
    <definedName name="mtbipvlan150">#REF!</definedName>
    <definedName name="mthungcapdkbx2.5" localSheetId="2">'NF-2200-PID-01'!#REF!</definedName>
    <definedName name="mthungcapdkbx2.5" localSheetId="4">'PID-0101'!#REF!</definedName>
    <definedName name="mthungcapdkbx2.5" localSheetId="5">'PID-0101 (2)'!#REF!</definedName>
    <definedName name="mthungcapdkbx2.5">#REF!</definedName>
    <definedName name="mthungcapdkbx2.75" localSheetId="2">'NF-2200-PID-01'!#REF!</definedName>
    <definedName name="mthungcapdkbx2.75" localSheetId="4">'PID-0101'!#REF!</definedName>
    <definedName name="mthungcapdkbx2.75" localSheetId="5">'PID-0101 (2)'!#REF!</definedName>
    <definedName name="mthungcapdkbx2.75">#REF!</definedName>
    <definedName name="mthungcapdkbx3" localSheetId="2">'NF-2200-PID-01'!#REF!</definedName>
    <definedName name="mthungcapdkbx3" localSheetId="4">'PID-0101'!#REF!</definedName>
    <definedName name="mthungcapdkbx3" localSheetId="5">'PID-0101 (2)'!#REF!</definedName>
    <definedName name="mthungcapdkbx3">#REF!</definedName>
    <definedName name="mthungcapdkbx4.5" localSheetId="2">'NF-2200-PID-01'!#REF!</definedName>
    <definedName name="mthungcapdkbx4.5" localSheetId="4">'PID-0101'!#REF!</definedName>
    <definedName name="mthungcapdkbx4.5" localSheetId="5">'PID-0101 (2)'!#REF!</definedName>
    <definedName name="mthungcapdkbx4.5">#REF!</definedName>
    <definedName name="mthungcapdkbx5" localSheetId="2">'NF-2200-PID-01'!#REF!</definedName>
    <definedName name="mthungcapdkbx5" localSheetId="4">'PID-0101'!#REF!</definedName>
    <definedName name="mthungcapdkbx5" localSheetId="5">'PID-0101 (2)'!#REF!</definedName>
    <definedName name="mthungcapdkbx5">#REF!</definedName>
    <definedName name="mthungcapdkbx8" localSheetId="2">'NF-2200-PID-01'!#REF!</definedName>
    <definedName name="mthungcapdkbx8" localSheetId="4">'PID-0101'!#REF!</definedName>
    <definedName name="mthungcapdkbx8" localSheetId="5">'PID-0101 (2)'!#REF!</definedName>
    <definedName name="mthungcapdkbx8">#REF!</definedName>
    <definedName name="mthungcapdkbx9" localSheetId="2">'NF-2200-PID-01'!#REF!</definedName>
    <definedName name="mthungcapdkbx9" localSheetId="4">'PID-0101'!#REF!</definedName>
    <definedName name="mthungcapdkbx9" localSheetId="5">'PID-0101 (2)'!#REF!</definedName>
    <definedName name="mthungcapdkbx9">#REF!</definedName>
    <definedName name="mtien4.5" localSheetId="2">'NF-2200-PID-01'!#REF!</definedName>
    <definedName name="mtien4.5" localSheetId="4">'PID-0101'!#REF!</definedName>
    <definedName name="mtien4.5" localSheetId="5">'PID-0101 (2)'!#REF!</definedName>
    <definedName name="mtien4.5">#REF!</definedName>
    <definedName name="mtoidien0.5" localSheetId="2">'NF-2200-PID-01'!#REF!</definedName>
    <definedName name="mtoidien0.5" localSheetId="4">'PID-0101'!#REF!</definedName>
    <definedName name="mtoidien0.5" localSheetId="5">'PID-0101 (2)'!#REF!</definedName>
    <definedName name="mtoidien0.5">#REF!</definedName>
    <definedName name="mtoidien1" localSheetId="2">'NF-2200-PID-01'!#REF!</definedName>
    <definedName name="mtoidien1" localSheetId="4">'PID-0101'!#REF!</definedName>
    <definedName name="mtoidien1" localSheetId="5">'PID-0101 (2)'!#REF!</definedName>
    <definedName name="mtoidien1">#REF!</definedName>
    <definedName name="mtoidien1.5" localSheetId="2">'NF-2200-PID-01'!#REF!</definedName>
    <definedName name="mtoidien1.5" localSheetId="4">'PID-0101'!#REF!</definedName>
    <definedName name="mtoidien1.5" localSheetId="5">'PID-0101 (2)'!#REF!</definedName>
    <definedName name="mtoidien1.5">#REF!</definedName>
    <definedName name="mtoidien2" localSheetId="2">'NF-2200-PID-01'!#REF!</definedName>
    <definedName name="mtoidien2" localSheetId="4">'PID-0101'!#REF!</definedName>
    <definedName name="mtoidien2" localSheetId="5">'PID-0101 (2)'!#REF!</definedName>
    <definedName name="mtoidien2">#REF!</definedName>
    <definedName name="mtoidien2.5" localSheetId="2">'NF-2200-PID-01'!#REF!</definedName>
    <definedName name="mtoidien2.5" localSheetId="4">'PID-0101'!#REF!</definedName>
    <definedName name="mtoidien2.5" localSheetId="5">'PID-0101 (2)'!#REF!</definedName>
    <definedName name="mtoidien2.5">#REF!</definedName>
    <definedName name="mtoidien3" localSheetId="2">'NF-2200-PID-01'!#REF!</definedName>
    <definedName name="mtoidien3" localSheetId="4">'PID-0101'!#REF!</definedName>
    <definedName name="mtoidien3" localSheetId="5">'PID-0101 (2)'!#REF!</definedName>
    <definedName name="mtoidien3">#REF!</definedName>
    <definedName name="mtoidien4" localSheetId="2">'NF-2200-PID-01'!#REF!</definedName>
    <definedName name="mtoidien4" localSheetId="4">'PID-0101'!#REF!</definedName>
    <definedName name="mtoidien4" localSheetId="5">'PID-0101 (2)'!#REF!</definedName>
    <definedName name="mtoidien4">#REF!</definedName>
    <definedName name="mtoidien5" localSheetId="2">'NF-2200-PID-01'!#REF!</definedName>
    <definedName name="mtoidien5" localSheetId="4">'PID-0101'!#REF!</definedName>
    <definedName name="mtoidien5" localSheetId="5">'PID-0101 (2)'!#REF!</definedName>
    <definedName name="mtoidien5">#REF!</definedName>
    <definedName name="mtrambomdau40" localSheetId="2">'NF-2200-PID-01'!#REF!</definedName>
    <definedName name="mtrambomdau40" localSheetId="4">'PID-0101'!#REF!</definedName>
    <definedName name="mtrambomdau40" localSheetId="5">'PID-0101 (2)'!#REF!</definedName>
    <definedName name="mtrambomdau40">#REF!</definedName>
    <definedName name="mtrambomdau50" localSheetId="2">'NF-2200-PID-01'!#REF!</definedName>
    <definedName name="mtrambomdau50" localSheetId="4">'PID-0101'!#REF!</definedName>
    <definedName name="mtrambomdau50" localSheetId="5">'PID-0101 (2)'!#REF!</definedName>
    <definedName name="mtrambomdau50">#REF!</definedName>
    <definedName name="mtramtronbt20" localSheetId="2">'NF-2200-PID-01'!#REF!</definedName>
    <definedName name="mtramtronbt20" localSheetId="4">'PID-0101'!#REF!</definedName>
    <definedName name="mtramtronbt20" localSheetId="5">'PID-0101 (2)'!#REF!</definedName>
    <definedName name="mtramtronbt20">#REF!</definedName>
    <definedName name="mtramtronbt22" localSheetId="2">'NF-2200-PID-01'!#REF!</definedName>
    <definedName name="mtramtronbt22" localSheetId="4">'PID-0101'!#REF!</definedName>
    <definedName name="mtramtronbt22" localSheetId="5">'PID-0101 (2)'!#REF!</definedName>
    <definedName name="mtramtronbt22">#REF!</definedName>
    <definedName name="mtramtronbt30" localSheetId="2">'NF-2200-PID-01'!#REF!</definedName>
    <definedName name="mtramtronbt30" localSheetId="4">'PID-0101'!#REF!</definedName>
    <definedName name="mtramtronbt30" localSheetId="5">'PID-0101 (2)'!#REF!</definedName>
    <definedName name="mtramtronbt30">#REF!</definedName>
    <definedName name="mtramtronbt60" localSheetId="2">'NF-2200-PID-01'!#REF!</definedName>
    <definedName name="mtramtronbt60" localSheetId="4">'PID-0101'!#REF!</definedName>
    <definedName name="mtramtronbt60" localSheetId="5">'PID-0101 (2)'!#REF!</definedName>
    <definedName name="mtramtronbt60">#REF!</definedName>
    <definedName name="mtramtronbtn25" localSheetId="2">'NF-2200-PID-01'!#REF!</definedName>
    <definedName name="mtramtronbtn25" localSheetId="4">'PID-0101'!#REF!</definedName>
    <definedName name="mtramtronbtn25" localSheetId="5">'PID-0101 (2)'!#REF!</definedName>
    <definedName name="mtramtronbtn25">#REF!</definedName>
    <definedName name="mtramtronbtn30" localSheetId="2">'NF-2200-PID-01'!#REF!</definedName>
    <definedName name="mtramtronbtn30" localSheetId="4">'PID-0101'!#REF!</definedName>
    <definedName name="mtramtronbtn30" localSheetId="5">'PID-0101 (2)'!#REF!</definedName>
    <definedName name="mtramtronbtn30">#REF!</definedName>
    <definedName name="mtramtronbtn40" localSheetId="2">'NF-2200-PID-01'!#REF!</definedName>
    <definedName name="mtramtronbtn40" localSheetId="4">'PID-0101'!#REF!</definedName>
    <definedName name="mtramtronbtn40" localSheetId="5">'PID-0101 (2)'!#REF!</definedName>
    <definedName name="mtramtronbtn40">#REF!</definedName>
    <definedName name="mtramtronbtn50" localSheetId="2">'NF-2200-PID-01'!#REF!</definedName>
    <definedName name="mtramtronbtn50" localSheetId="4">'PID-0101'!#REF!</definedName>
    <definedName name="mtramtronbtn50" localSheetId="5">'PID-0101 (2)'!#REF!</definedName>
    <definedName name="mtramtronbtn50">#REF!</definedName>
    <definedName name="mtramtronbtn60" localSheetId="2">'NF-2200-PID-01'!#REF!</definedName>
    <definedName name="mtramtronbtn60" localSheetId="4">'PID-0101'!#REF!</definedName>
    <definedName name="mtramtronbtn60" localSheetId="5">'PID-0101 (2)'!#REF!</definedName>
    <definedName name="mtramtronbtn60">#REF!</definedName>
    <definedName name="mtramtronbtn80" localSheetId="2">'NF-2200-PID-01'!#REF!</definedName>
    <definedName name="mtramtronbtn80" localSheetId="4">'PID-0101'!#REF!</definedName>
    <definedName name="mtramtronbtn80" localSheetId="5">'PID-0101 (2)'!#REF!</definedName>
    <definedName name="mtramtronbtn80">#REF!</definedName>
    <definedName name="mtronbentonite1" localSheetId="2">'NF-2200-PID-01'!#REF!</definedName>
    <definedName name="mtronbentonite1" localSheetId="4">'PID-0101'!#REF!</definedName>
    <definedName name="mtronbentonite1" localSheetId="5">'PID-0101 (2)'!#REF!</definedName>
    <definedName name="mtronbentonite1">#REF!</definedName>
    <definedName name="mtronbt100" localSheetId="2">'NF-2200-PID-01'!#REF!</definedName>
    <definedName name="mtronbt100" localSheetId="4">'PID-0101'!#REF!</definedName>
    <definedName name="mtronbt100" localSheetId="5">'PID-0101 (2)'!#REF!</definedName>
    <definedName name="mtronbt100">#REF!</definedName>
    <definedName name="mtronbt1150" localSheetId="2">'NF-2200-PID-01'!#REF!</definedName>
    <definedName name="mtronbt1150" localSheetId="4">'PID-0101'!#REF!</definedName>
    <definedName name="mtronbt1150" localSheetId="5">'PID-0101 (2)'!#REF!</definedName>
    <definedName name="mtronbt1150">#REF!</definedName>
    <definedName name="mtronbt150" localSheetId="2">'NF-2200-PID-01'!#REF!</definedName>
    <definedName name="mtronbt150" localSheetId="4">'PID-0101'!#REF!</definedName>
    <definedName name="mtronbt150" localSheetId="5">'PID-0101 (2)'!#REF!</definedName>
    <definedName name="mtronbt150">#REF!</definedName>
    <definedName name="mtronbt1600" localSheetId="2">'NF-2200-PID-01'!#REF!</definedName>
    <definedName name="mtronbt1600" localSheetId="4">'PID-0101'!#REF!</definedName>
    <definedName name="mtronbt1600" localSheetId="5">'PID-0101 (2)'!#REF!</definedName>
    <definedName name="mtronbt1600">#REF!</definedName>
    <definedName name="mtronbt200" localSheetId="2">'NF-2200-PID-01'!#REF!</definedName>
    <definedName name="mtronbt200" localSheetId="4">'PID-0101'!#REF!</definedName>
    <definedName name="mtronbt200" localSheetId="5">'PID-0101 (2)'!#REF!</definedName>
    <definedName name="mtronbt200">#REF!</definedName>
    <definedName name="mtronbt250" localSheetId="2">'NF-2200-PID-01'!#REF!</definedName>
    <definedName name="mtronbt250" localSheetId="4">'PID-0101'!#REF!</definedName>
    <definedName name="mtronbt250" localSheetId="5">'PID-0101 (2)'!#REF!</definedName>
    <definedName name="mtronbt250">#REF!</definedName>
    <definedName name="mtronbt425" localSheetId="2">'NF-2200-PID-01'!#REF!</definedName>
    <definedName name="mtronbt425" localSheetId="4">'PID-0101'!#REF!</definedName>
    <definedName name="mtronbt425" localSheetId="5">'PID-0101 (2)'!#REF!</definedName>
    <definedName name="mtronbt425">#REF!</definedName>
    <definedName name="mtronbt500" localSheetId="2">'NF-2200-PID-01'!#REF!</definedName>
    <definedName name="mtronbt500" localSheetId="4">'PID-0101'!#REF!</definedName>
    <definedName name="mtronbt500" localSheetId="5">'PID-0101 (2)'!#REF!</definedName>
    <definedName name="mtronbt500">#REF!</definedName>
    <definedName name="mtronbt800" localSheetId="2">'NF-2200-PID-01'!#REF!</definedName>
    <definedName name="mtronbt800" localSheetId="4">'PID-0101'!#REF!</definedName>
    <definedName name="mtronbt800" localSheetId="5">'PID-0101 (2)'!#REF!</definedName>
    <definedName name="mtronbt800">#REF!</definedName>
    <definedName name="mtronvua110" localSheetId="2">'NF-2200-PID-01'!#REF!</definedName>
    <definedName name="mtronvua110" localSheetId="4">'PID-0101'!#REF!</definedName>
    <definedName name="mtronvua110" localSheetId="5">'PID-0101 (2)'!#REF!</definedName>
    <definedName name="mtronvua110">#REF!</definedName>
    <definedName name="mtronvua150" localSheetId="2">'NF-2200-PID-01'!#REF!</definedName>
    <definedName name="mtronvua150" localSheetId="4">'PID-0101'!#REF!</definedName>
    <definedName name="mtronvua150" localSheetId="5">'PID-0101 (2)'!#REF!</definedName>
    <definedName name="mtronvua150">#REF!</definedName>
    <definedName name="mtronvua200" localSheetId="2">'NF-2200-PID-01'!#REF!</definedName>
    <definedName name="mtronvua200" localSheetId="4">'PID-0101'!#REF!</definedName>
    <definedName name="mtronvua200" localSheetId="5">'PID-0101 (2)'!#REF!</definedName>
    <definedName name="mtronvua200">#REF!</definedName>
    <definedName name="mtronvua250" localSheetId="2">'NF-2200-PID-01'!#REF!</definedName>
    <definedName name="mtronvua250" localSheetId="4">'PID-0101'!#REF!</definedName>
    <definedName name="mtronvua250" localSheetId="5">'PID-0101 (2)'!#REF!</definedName>
    <definedName name="mtronvua250">#REF!</definedName>
    <definedName name="mtronvua325" localSheetId="2">'NF-2200-PID-01'!#REF!</definedName>
    <definedName name="mtronvua325" localSheetId="4">'PID-0101'!#REF!</definedName>
    <definedName name="mtronvua325" localSheetId="5">'PID-0101 (2)'!#REF!</definedName>
    <definedName name="mtronvua325">#REF!</definedName>
    <definedName name="mtronvua80" localSheetId="2">'NF-2200-PID-01'!#REF!</definedName>
    <definedName name="mtronvua80" localSheetId="4">'PID-0101'!#REF!</definedName>
    <definedName name="mtronvua80" localSheetId="5">'PID-0101 (2)'!#REF!</definedName>
    <definedName name="mtronvua80">#REF!</definedName>
    <definedName name="muonong2.8" localSheetId="2">'NF-2200-PID-01'!#REF!</definedName>
    <definedName name="muonong2.8" localSheetId="4">'PID-0101'!#REF!</definedName>
    <definedName name="muonong2.8" localSheetId="5">'PID-0101 (2)'!#REF!</definedName>
    <definedName name="muonong2.8">#REF!</definedName>
    <definedName name="mvanthang0.3" localSheetId="2">'NF-2200-PID-01'!#REF!</definedName>
    <definedName name="mvanthang0.3" localSheetId="4">'PID-0101'!#REF!</definedName>
    <definedName name="mvanthang0.3" localSheetId="5">'PID-0101 (2)'!#REF!</definedName>
    <definedName name="mvanthang0.3">#REF!</definedName>
    <definedName name="mvanthang0.5" localSheetId="2">'NF-2200-PID-01'!#REF!</definedName>
    <definedName name="mvanthang0.5" localSheetId="4">'PID-0101'!#REF!</definedName>
    <definedName name="mvanthang0.5" localSheetId="5">'PID-0101 (2)'!#REF!</definedName>
    <definedName name="mvanthang0.5">#REF!</definedName>
    <definedName name="mvanthang2" localSheetId="2">'NF-2200-PID-01'!#REF!</definedName>
    <definedName name="mvanthang2" localSheetId="4">'PID-0101'!#REF!</definedName>
    <definedName name="mvanthang2" localSheetId="5">'PID-0101 (2)'!#REF!</definedName>
    <definedName name="mvanthang2">#REF!</definedName>
    <definedName name="mxebombt90" localSheetId="2">'NF-2200-PID-01'!#REF!</definedName>
    <definedName name="mxebombt90" localSheetId="4">'PID-0101'!#REF!</definedName>
    <definedName name="mxebombt90" localSheetId="5">'PID-0101 (2)'!#REF!</definedName>
    <definedName name="mxebombt90">#REF!</definedName>
    <definedName name="mxenanghang1.5" localSheetId="2">'NF-2200-PID-01'!#REF!</definedName>
    <definedName name="mxenanghang1.5" localSheetId="4">'PID-0101'!#REF!</definedName>
    <definedName name="mxenanghang1.5" localSheetId="5">'PID-0101 (2)'!#REF!</definedName>
    <definedName name="mxenanghang1.5">#REF!</definedName>
    <definedName name="mxenanghang12" localSheetId="2">'NF-2200-PID-01'!#REF!</definedName>
    <definedName name="mxenanghang12" localSheetId="4">'PID-0101'!#REF!</definedName>
    <definedName name="mxenanghang12" localSheetId="5">'PID-0101 (2)'!#REF!</definedName>
    <definedName name="mxenanghang12">#REF!</definedName>
    <definedName name="mxenanghang3" localSheetId="2">'NF-2200-PID-01'!#REF!</definedName>
    <definedName name="mxenanghang3" localSheetId="4">'PID-0101'!#REF!</definedName>
    <definedName name="mxenanghang3" localSheetId="5">'PID-0101 (2)'!#REF!</definedName>
    <definedName name="mxenanghang3">#REF!</definedName>
    <definedName name="mxenanghang3.2" localSheetId="2">'NF-2200-PID-01'!#REF!</definedName>
    <definedName name="mxenanghang3.2" localSheetId="4">'PID-0101'!#REF!</definedName>
    <definedName name="mxenanghang3.2" localSheetId="5">'PID-0101 (2)'!#REF!</definedName>
    <definedName name="mxenanghang3.2">#REF!</definedName>
    <definedName name="mxenanghang3.5" localSheetId="2">'NF-2200-PID-01'!#REF!</definedName>
    <definedName name="mxenanghang3.5" localSheetId="4">'PID-0101'!#REF!</definedName>
    <definedName name="mxenanghang3.5" localSheetId="5">'PID-0101 (2)'!#REF!</definedName>
    <definedName name="mxenanghang3.5">#REF!</definedName>
    <definedName name="mxenanghang5" localSheetId="2">'NF-2200-PID-01'!#REF!</definedName>
    <definedName name="mxenanghang5" localSheetId="4">'PID-0101'!#REF!</definedName>
    <definedName name="mxenanghang5" localSheetId="5">'PID-0101 (2)'!#REF!</definedName>
    <definedName name="mxenanghang5">#REF!</definedName>
    <definedName name="mxetuoinhua190" localSheetId="2">'NF-2200-PID-01'!#REF!</definedName>
    <definedName name="mxetuoinhua190" localSheetId="4">'PID-0101'!#REF!</definedName>
    <definedName name="mxetuoinhua190" localSheetId="5">'PID-0101 (2)'!#REF!</definedName>
    <definedName name="mxetuoinhua190">#REF!</definedName>
    <definedName name="mxuclat0.40" localSheetId="2">'NF-2200-PID-01'!#REF!</definedName>
    <definedName name="mxuclat0.40" localSheetId="4">'PID-0101'!#REF!</definedName>
    <definedName name="mxuclat0.40" localSheetId="5">'PID-0101 (2)'!#REF!</definedName>
    <definedName name="mxuclat0.40">#REF!</definedName>
    <definedName name="mxuclat1.00" localSheetId="2">'NF-2200-PID-01'!#REF!</definedName>
    <definedName name="mxuclat1.00" localSheetId="4">'PID-0101'!#REF!</definedName>
    <definedName name="mxuclat1.00" localSheetId="5">'PID-0101 (2)'!#REF!</definedName>
    <definedName name="mxuclat1.00">#REF!</definedName>
    <definedName name="mxuclat1.65" localSheetId="2">'NF-2200-PID-01'!#REF!</definedName>
    <definedName name="mxuclat1.65" localSheetId="4">'PID-0101'!#REF!</definedName>
    <definedName name="mxuclat1.65" localSheetId="5">'PID-0101 (2)'!#REF!</definedName>
    <definedName name="mxuclat1.65">#REF!</definedName>
    <definedName name="mxuclat2.00" localSheetId="2">'NF-2200-PID-01'!#REF!</definedName>
    <definedName name="mxuclat2.00" localSheetId="4">'PID-0101'!#REF!</definedName>
    <definedName name="mxuclat2.00" localSheetId="5">'PID-0101 (2)'!#REF!</definedName>
    <definedName name="mxuclat2.00">#REF!</definedName>
    <definedName name="mxuclat2.80" localSheetId="2">'NF-2200-PID-01'!#REF!</definedName>
    <definedName name="mxuclat2.80" localSheetId="4">'PID-0101'!#REF!</definedName>
    <definedName name="mxuclat2.80" localSheetId="5">'PID-0101 (2)'!#REF!</definedName>
    <definedName name="mxuclat2.80">#REF!</definedName>
    <definedName name="myle" localSheetId="2">'NF-2200-PID-01'!#REF!</definedName>
    <definedName name="myle" localSheetId="4">'PID-0101'!#REF!</definedName>
    <definedName name="myle" localSheetId="5">'PID-0101 (2)'!#REF!</definedName>
    <definedName name="myle">#REF!</definedName>
    <definedName name="n">#N/A</definedName>
    <definedName name="nc" localSheetId="2">'NF-2200-PID-01'!#REF!</definedName>
    <definedName name="nc" localSheetId="4">'PID-0101'!#REF!</definedName>
    <definedName name="nc" localSheetId="5">'PID-0101 (2)'!#REF!</definedName>
    <definedName name="nc">#REF!</definedName>
    <definedName name="ncong" localSheetId="2">'NF-2200-PID-01'!#REF!</definedName>
    <definedName name="ncong" localSheetId="4">'PID-0101'!#REF!</definedName>
    <definedName name="ncong" localSheetId="5">'PID-0101 (2)'!#REF!</definedName>
    <definedName name="ncong">#REF!</definedName>
    <definedName name="NET" localSheetId="2">'NF-2200-PID-01'!#REF!</definedName>
    <definedName name="NET" localSheetId="4">'PID-0101'!#REF!</definedName>
    <definedName name="NET" localSheetId="5">'PID-0101 (2)'!#REF!</definedName>
    <definedName name="NET">#REF!</definedName>
    <definedName name="NET_1" localSheetId="2">'NF-2200-PID-01'!#REF!</definedName>
    <definedName name="NET_1" localSheetId="4">'PID-0101'!#REF!</definedName>
    <definedName name="NET_1" localSheetId="5">'PID-0101 (2)'!#REF!</definedName>
    <definedName name="NET_1">#REF!</definedName>
    <definedName name="NET_ANA" localSheetId="2">'NF-2200-PID-01'!#REF!</definedName>
    <definedName name="NET_ANA" localSheetId="4">'PID-0101'!#REF!</definedName>
    <definedName name="NET_ANA" localSheetId="5">'PID-0101 (2)'!#REF!</definedName>
    <definedName name="NET_ANA">#REF!</definedName>
    <definedName name="NET_ANA_1" localSheetId="2">'NF-2200-PID-01'!#REF!</definedName>
    <definedName name="NET_ANA_1" localSheetId="4">'PID-0101'!#REF!</definedName>
    <definedName name="NET_ANA_1" localSheetId="5">'PID-0101 (2)'!#REF!</definedName>
    <definedName name="NET_ANA_1">#REF!</definedName>
    <definedName name="NET_ANA_2" localSheetId="2">'NF-2200-PID-01'!#REF!</definedName>
    <definedName name="NET_ANA_2" localSheetId="4">'PID-0101'!#REF!</definedName>
    <definedName name="NET_ANA_2" localSheetId="5">'PID-0101 (2)'!#REF!</definedName>
    <definedName name="NET_ANA_2">#REF!</definedName>
    <definedName name="NH" localSheetId="2">'NF-2200-PID-01'!#REF!</definedName>
    <definedName name="NH" localSheetId="4">'PID-0101'!#REF!</definedName>
    <definedName name="NH" localSheetId="5">'PID-0101 (2)'!#REF!</definedName>
    <definedName name="NH">#REF!</definedName>
    <definedName name="NHot" localSheetId="2">'NF-2200-PID-01'!#REF!</definedName>
    <definedName name="NHot" localSheetId="4">'PID-0101'!#REF!</definedName>
    <definedName name="NHot" localSheetId="5">'PID-0101 (2)'!#REF!</definedName>
    <definedName name="NHot">#REF!</definedName>
    <definedName name="No" localSheetId="2">'NF-2200-PID-01'!#REF!</definedName>
    <definedName name="No" localSheetId="4">'PID-0101'!#REF!</definedName>
    <definedName name="No" localSheetId="5">'PID-0101 (2)'!#REF!</definedName>
    <definedName name="No">#REF!</definedName>
    <definedName name="o">#N/A</definedName>
    <definedName name="odaki" localSheetId="2">'NF-2200-PID-01'!#REF!</definedName>
    <definedName name="odaki" localSheetId="4">'PID-0101'!#REF!</definedName>
    <definedName name="odaki" localSheetId="5">'PID-0101 (2)'!#REF!</definedName>
    <definedName name="odaki">#REF!</definedName>
    <definedName name="ophom" localSheetId="2">'NF-2200-PID-01'!#REF!</definedName>
    <definedName name="ophom" localSheetId="4">'PID-0101'!#REF!</definedName>
    <definedName name="ophom" localSheetId="5">'PID-0101 (2)'!#REF!</definedName>
    <definedName name="ophom">#REF!</definedName>
    <definedName name="p">#N/A</definedName>
    <definedName name="P7b" localSheetId="2">'NF-2200-PID-01'!#REF!</definedName>
    <definedName name="P7b" localSheetId="4">'PID-0101'!#REF!</definedName>
    <definedName name="P7b" localSheetId="5">'PID-0101 (2)'!#REF!</definedName>
    <definedName name="P7b">#REF!</definedName>
    <definedName name="PA" localSheetId="2">'NF-2200-PID-01'!#REF!</definedName>
    <definedName name="PA" localSheetId="4">'PID-0101'!#REF!</definedName>
    <definedName name="PA" localSheetId="5">'PID-0101 (2)'!#REF!</definedName>
    <definedName name="PA">#REF!</definedName>
    <definedName name="_xlnm.Print_Area" localSheetId="0">'Cover sheet'!$A$1:$H$28</definedName>
    <definedName name="_xlnm.Print_Area" localSheetId="1">'Front page'!$A$1:$Y$50</definedName>
    <definedName name="_xlnm.Print_Area" localSheetId="2">'NF-2200-PID-01'!$A$1:$CK$44</definedName>
    <definedName name="_xlnm.Print_Area" localSheetId="3">'page 1'!$B$2:$H$17</definedName>
    <definedName name="_xlnm.Print_Area" localSheetId="4">'PID-0101'!$A$1:$CM$78</definedName>
    <definedName name="_xlnm.Print_Area" localSheetId="5">'PID-0101 (2)'!$A$1:$X$715</definedName>
    <definedName name="_xlnm.Print_Area">#N/A</definedName>
    <definedName name="Print_Area_MI" localSheetId="2">'NF-2200-PID-01'!#REF!</definedName>
    <definedName name="Print_Area_MI" localSheetId="4">'PID-0101'!#REF!</definedName>
    <definedName name="Print_Area_MI" localSheetId="5">'PID-0101 (2)'!#REF!</definedName>
    <definedName name="Print_Area_MI">#REF!</definedName>
    <definedName name="_xlnm.Print_Titles" localSheetId="4">'PID-0101'!$1:$6</definedName>
    <definedName name="_xlnm.Print_Titles" localSheetId="5">'PID-0101 (2)'!$1:$6</definedName>
    <definedName name="_xlnm.Print_Titles">#REF!</definedName>
    <definedName name="PRINT_TITLES_MI" localSheetId="2">'NF-2200-PID-01'!#REF!</definedName>
    <definedName name="PRINT_TITLES_MI" localSheetId="4">'PID-0101'!#REF!</definedName>
    <definedName name="PRINT_TITLES_MI" localSheetId="5">'PID-0101 (2)'!#REF!</definedName>
    <definedName name="PRINT_TITLES_MI">#REF!</definedName>
    <definedName name="PRINTA" localSheetId="2">'NF-2200-PID-01'!#REF!</definedName>
    <definedName name="PRINTA" localSheetId="4">'PID-0101'!#REF!</definedName>
    <definedName name="PRINTA" localSheetId="5">'PID-0101 (2)'!#REF!</definedName>
    <definedName name="PRINTA">#REF!</definedName>
    <definedName name="PRINTB" localSheetId="2">'NF-2200-PID-01'!#REF!</definedName>
    <definedName name="PRINTB" localSheetId="4">'PID-0101'!#REF!</definedName>
    <definedName name="PRINTB" localSheetId="5">'PID-0101 (2)'!#REF!</definedName>
    <definedName name="PRINTB">#REF!</definedName>
    <definedName name="PRINTC" localSheetId="2">'NF-2200-PID-01'!#REF!</definedName>
    <definedName name="PRINTC" localSheetId="4">'PID-0101'!#REF!</definedName>
    <definedName name="PRINTC" localSheetId="5">'PID-0101 (2)'!#REF!</definedName>
    <definedName name="PRINTC">#REF!</definedName>
    <definedName name="PROPOSAL" localSheetId="2">'NF-2200-PID-01'!#REF!</definedName>
    <definedName name="PROPOSAL" localSheetId="4">'PID-0101'!#REF!</definedName>
    <definedName name="PROPOSAL" localSheetId="5">'PID-0101 (2)'!#REF!</definedName>
    <definedName name="PROPOSAL">#REF!</definedName>
    <definedName name="PT_Duong" localSheetId="2">'NF-2200-PID-01'!#REF!</definedName>
    <definedName name="PT_Duong" localSheetId="4">'PID-0101'!#REF!</definedName>
    <definedName name="PT_Duong" localSheetId="5">'PID-0101 (2)'!#REF!</definedName>
    <definedName name="PT_Duong">#REF!</definedName>
    <definedName name="ptdg" localSheetId="2">'NF-2200-PID-01'!#REF!</definedName>
    <definedName name="ptdg" localSheetId="4">'PID-0101'!#REF!</definedName>
    <definedName name="ptdg" localSheetId="5">'PID-0101 (2)'!#REF!</definedName>
    <definedName name="ptdg">#REF!</definedName>
    <definedName name="PTDG_cau" localSheetId="2">'NF-2200-PID-01'!#REF!</definedName>
    <definedName name="PTDG_cau" localSheetId="4">'PID-0101'!#REF!</definedName>
    <definedName name="PTDG_cau" localSheetId="5">'PID-0101 (2)'!#REF!</definedName>
    <definedName name="PTDG_cau">#REF!</definedName>
    <definedName name="ptdg_cong" localSheetId="2">'NF-2200-PID-01'!#REF!</definedName>
    <definedName name="ptdg_cong" localSheetId="4">'PID-0101'!#REF!</definedName>
    <definedName name="ptdg_cong" localSheetId="5">'PID-0101 (2)'!#REF!</definedName>
    <definedName name="ptdg_cong">#REF!</definedName>
    <definedName name="ptdg_duong" localSheetId="2">'NF-2200-PID-01'!#REF!</definedName>
    <definedName name="ptdg_duong" localSheetId="4">'PID-0101'!#REF!</definedName>
    <definedName name="ptdg_duong" localSheetId="5">'PID-0101 (2)'!#REF!</definedName>
    <definedName name="ptdg_duong">#REF!</definedName>
    <definedName name="q">#N/A</definedName>
    <definedName name="qtdm" localSheetId="2">'NF-2200-PID-01'!#REF!</definedName>
    <definedName name="qtdm" localSheetId="4">'PID-0101'!#REF!</definedName>
    <definedName name="qtdm" localSheetId="5">'PID-0101 (2)'!#REF!</definedName>
    <definedName name="qtdm">#REF!</definedName>
    <definedName name="RED_RIVER_BRIDGE__THANH_TRI_BRIDGE__CONSTRUCTION_PROJECT" localSheetId="2">'NF-2200-PID-01'!#REF!</definedName>
    <definedName name="RED_RIVER_BRIDGE__THANH_TRI_BRIDGE__CONSTRUCTION_PROJECT" localSheetId="4">'PID-0101'!#REF!</definedName>
    <definedName name="RED_RIVER_BRIDGE__THANH_TRI_BRIDGE__CONSTRUCTION_PROJECT" localSheetId="5">'PID-0101 (2)'!#REF!</definedName>
    <definedName name="RED_RIVER_BRIDGE__THANH_TRI_BRIDGE__CONSTRUCTION_PROJECT">#REF!</definedName>
    <definedName name="REO" localSheetId="2">'NF-2200-PID-01'!#REF!</definedName>
    <definedName name="REO" localSheetId="4">'PID-0101'!#REF!</definedName>
    <definedName name="REO" localSheetId="5">'PID-0101 (2)'!#REF!</definedName>
    <definedName name="REO">#REF!</definedName>
    <definedName name="s">#N/A</definedName>
    <definedName name="satu" localSheetId="2">'NF-2200-PID-01'!#REF!</definedName>
    <definedName name="satu" localSheetId="4">'PID-0101'!#REF!</definedName>
    <definedName name="satu" localSheetId="5">'PID-0101 (2)'!#REF!</definedName>
    <definedName name="satu">#REF!</definedName>
    <definedName name="sgg">#N/A</definedName>
    <definedName name="Sheet1" localSheetId="2">'NF-2200-PID-01'!#REF!</definedName>
    <definedName name="Sheet1" localSheetId="4">'PID-0101'!#REF!</definedName>
    <definedName name="Sheet1" localSheetId="5">'PID-0101 (2)'!#REF!</definedName>
    <definedName name="Sheet1">#REF!</definedName>
    <definedName name="sho" localSheetId="2">'NF-2200-PID-01'!#REF!</definedName>
    <definedName name="sho" localSheetId="4">'PID-0101'!#REF!</definedName>
    <definedName name="sho" localSheetId="5">'PID-0101 (2)'!#REF!</definedName>
    <definedName name="sho">#REF!</definedName>
    <definedName name="SORT" localSheetId="2">'NF-2200-PID-01'!#REF!</definedName>
    <definedName name="SORT" localSheetId="4">'PID-0101'!#REF!</definedName>
    <definedName name="SORT" localSheetId="5">'PID-0101 (2)'!#REF!</definedName>
    <definedName name="SORT">#REF!</definedName>
    <definedName name="SPEC" localSheetId="2">'NF-2200-PID-01'!#REF!</definedName>
    <definedName name="SPEC" localSheetId="4">'PID-0101'!#REF!</definedName>
    <definedName name="SPEC" localSheetId="5">'PID-0101 (2)'!#REF!</definedName>
    <definedName name="SPEC">#REF!</definedName>
    <definedName name="SPECSUMMARY" localSheetId="2">'NF-2200-PID-01'!#REF!</definedName>
    <definedName name="SPECSUMMARY" localSheetId="4">'PID-0101'!#REF!</definedName>
    <definedName name="SPECSUMMARY" localSheetId="5">'PID-0101 (2)'!#REF!</definedName>
    <definedName name="SPECSUMMARY">#REF!</definedName>
    <definedName name="SSTR" localSheetId="2">'NF-2200-PID-01'!#REF!</definedName>
    <definedName name="SSTR" localSheetId="4">'PID-0101'!#REF!</definedName>
    <definedName name="SSTR" localSheetId="5">'PID-0101 (2)'!#REF!</definedName>
    <definedName name="SSTR">#REF!</definedName>
    <definedName name="Start_1" localSheetId="2">'NF-2200-PID-01'!#REF!</definedName>
    <definedName name="Start_1" localSheetId="4">'PID-0101'!#REF!</definedName>
    <definedName name="Start_1" localSheetId="5">'PID-0101 (2)'!#REF!</definedName>
    <definedName name="Start_1">#REF!</definedName>
    <definedName name="Start_10" localSheetId="2">'NF-2200-PID-01'!#REF!</definedName>
    <definedName name="Start_10" localSheetId="4">'PID-0101'!#REF!</definedName>
    <definedName name="Start_10" localSheetId="5">'PID-0101 (2)'!#REF!</definedName>
    <definedName name="Start_10">#REF!</definedName>
    <definedName name="Start_11" localSheetId="2">'NF-2200-PID-01'!#REF!</definedName>
    <definedName name="Start_11" localSheetId="4">'PID-0101'!#REF!</definedName>
    <definedName name="Start_11" localSheetId="5">'PID-0101 (2)'!#REF!</definedName>
    <definedName name="Start_11">#REF!</definedName>
    <definedName name="Start_12" localSheetId="2">'NF-2200-PID-01'!#REF!</definedName>
    <definedName name="Start_12" localSheetId="4">'PID-0101'!#REF!</definedName>
    <definedName name="Start_12" localSheetId="5">'PID-0101 (2)'!#REF!</definedName>
    <definedName name="Start_12">#REF!</definedName>
    <definedName name="Start_13" localSheetId="2">'NF-2200-PID-01'!#REF!</definedName>
    <definedName name="Start_13" localSheetId="4">'PID-0101'!#REF!</definedName>
    <definedName name="Start_13" localSheetId="5">'PID-0101 (2)'!#REF!</definedName>
    <definedName name="Start_13">#REF!</definedName>
    <definedName name="Start_2" localSheetId="2">'NF-2200-PID-01'!#REF!</definedName>
    <definedName name="Start_2" localSheetId="4">'PID-0101'!#REF!</definedName>
    <definedName name="Start_2" localSheetId="5">'PID-0101 (2)'!#REF!</definedName>
    <definedName name="Start_2">#REF!</definedName>
    <definedName name="Start_3" localSheetId="2">'NF-2200-PID-01'!#REF!</definedName>
    <definedName name="Start_3" localSheetId="4">'PID-0101'!#REF!</definedName>
    <definedName name="Start_3" localSheetId="5">'PID-0101 (2)'!#REF!</definedName>
    <definedName name="Start_3">#REF!</definedName>
    <definedName name="Start_4" localSheetId="2">'NF-2200-PID-01'!#REF!</definedName>
    <definedName name="Start_4" localSheetId="4">'PID-0101'!#REF!</definedName>
    <definedName name="Start_4" localSheetId="5">'PID-0101 (2)'!#REF!</definedName>
    <definedName name="Start_4">#REF!</definedName>
    <definedName name="Start_5" localSheetId="2">'NF-2200-PID-01'!#REF!</definedName>
    <definedName name="Start_5" localSheetId="4">'PID-0101'!#REF!</definedName>
    <definedName name="Start_5" localSheetId="5">'PID-0101 (2)'!#REF!</definedName>
    <definedName name="Start_5">#REF!</definedName>
    <definedName name="Start_6" localSheetId="2">'NF-2200-PID-01'!#REF!</definedName>
    <definedName name="Start_6" localSheetId="4">'PID-0101'!#REF!</definedName>
    <definedName name="Start_6" localSheetId="5">'PID-0101 (2)'!#REF!</definedName>
    <definedName name="Start_6">#REF!</definedName>
    <definedName name="Start_7" localSheetId="2">'NF-2200-PID-01'!#REF!</definedName>
    <definedName name="Start_7" localSheetId="4">'PID-0101'!#REF!</definedName>
    <definedName name="Start_7" localSheetId="5">'PID-0101 (2)'!#REF!</definedName>
    <definedName name="Start_7">#REF!</definedName>
    <definedName name="Start_8" localSheetId="2">'NF-2200-PID-01'!#REF!</definedName>
    <definedName name="Start_8" localSheetId="4">'PID-0101'!#REF!</definedName>
    <definedName name="Start_8" localSheetId="5">'PID-0101 (2)'!#REF!</definedName>
    <definedName name="Start_8">#REF!</definedName>
    <definedName name="Start_9" localSheetId="2">'NF-2200-PID-01'!#REF!</definedName>
    <definedName name="Start_9" localSheetId="4">'PID-0101'!#REF!</definedName>
    <definedName name="Start_9" localSheetId="5">'PID-0101 (2)'!#REF!</definedName>
    <definedName name="Start_9">#REF!</definedName>
    <definedName name="SUMMARY" localSheetId="2">'NF-2200-PID-01'!#REF!</definedName>
    <definedName name="SUMMARY" localSheetId="4">'PID-0101'!#REF!</definedName>
    <definedName name="SUMMARY" localSheetId="5">'PID-0101 (2)'!#REF!</definedName>
    <definedName name="SUMMARY">#REF!</definedName>
    <definedName name="t">#N/A</definedName>
    <definedName name="TaxTV">10%</definedName>
    <definedName name="TaxXL">5%</definedName>
    <definedName name="TBA" localSheetId="2">'NF-2200-PID-01'!#REF!</definedName>
    <definedName name="TBA" localSheetId="4">'PID-0101'!#REF!</definedName>
    <definedName name="TBA" localSheetId="5">'PID-0101 (2)'!#REF!</definedName>
    <definedName name="TBA">#REF!</definedName>
    <definedName name="tdia" localSheetId="2">'NF-2200-PID-01'!#REF!</definedName>
    <definedName name="tdia" localSheetId="4">'PID-0101'!#REF!</definedName>
    <definedName name="tdia" localSheetId="5">'PID-0101 (2)'!#REF!</definedName>
    <definedName name="tdia">#REF!</definedName>
    <definedName name="tdt" localSheetId="2">'NF-2200-PID-01'!#REF!</definedName>
    <definedName name="tdt" localSheetId="4">'PID-0101'!#REF!</definedName>
    <definedName name="tdt" localSheetId="5">'PID-0101 (2)'!#REF!</definedName>
    <definedName name="tdt">#REF!</definedName>
    <definedName name="thdt" localSheetId="2">'NF-2200-PID-01'!#REF!</definedName>
    <definedName name="thdt" localSheetId="4">'PID-0101'!#REF!</definedName>
    <definedName name="thdt" localSheetId="5">'PID-0101 (2)'!#REF!</definedName>
    <definedName name="thdt">#REF!</definedName>
    <definedName name="thue">6</definedName>
    <definedName name="Tien" localSheetId="2">'NF-2200-PID-01'!#REF!</definedName>
    <definedName name="Tien" localSheetId="4">'PID-0101'!#REF!</definedName>
    <definedName name="Tien" localSheetId="5">'PID-0101 (2)'!#REF!</definedName>
    <definedName name="Tien">#REF!</definedName>
    <definedName name="Tim_lan_xuat_hien" localSheetId="2">'NF-2200-PID-01'!#REF!</definedName>
    <definedName name="Tim_lan_xuat_hien" localSheetId="4">'PID-0101'!#REF!</definedName>
    <definedName name="Tim_lan_xuat_hien" localSheetId="5">'PID-0101 (2)'!#REF!</definedName>
    <definedName name="Tim_lan_xuat_hien">#REF!</definedName>
    <definedName name="tim_xuat_hien" localSheetId="2">'NF-2200-PID-01'!#REF!</definedName>
    <definedName name="tim_xuat_hien" localSheetId="4">'PID-0101'!#REF!</definedName>
    <definedName name="tim_xuat_hien" localSheetId="5">'PID-0101 (2)'!#REF!</definedName>
    <definedName name="tim_xuat_hien">#REF!</definedName>
    <definedName name="tld" localSheetId="2">'NF-2200-PID-01'!#REF!</definedName>
    <definedName name="tld" localSheetId="4">'PID-0101'!#REF!</definedName>
    <definedName name="tld" localSheetId="5">'PID-0101 (2)'!#REF!</definedName>
    <definedName name="tld">#REF!</definedName>
    <definedName name="tly" localSheetId="2">'NF-2200-PID-01'!#REF!</definedName>
    <definedName name="tly" localSheetId="4">'PID-0101'!#REF!</definedName>
    <definedName name="tly" localSheetId="5">'PID-0101 (2)'!#REF!</definedName>
    <definedName name="tly">#REF!</definedName>
    <definedName name="tn" localSheetId="2">'NF-2200-PID-01'!#REF!</definedName>
    <definedName name="tn" localSheetId="4">'PID-0101'!#REF!</definedName>
    <definedName name="tn" localSheetId="5">'PID-0101 (2)'!#REF!</definedName>
    <definedName name="tn">#REF!</definedName>
    <definedName name="Tong" localSheetId="2">'NF-2200-PID-01'!#REF!</definedName>
    <definedName name="Tong" localSheetId="4">'PID-0101'!#REF!</definedName>
    <definedName name="Tong" localSheetId="5">'PID-0101 (2)'!#REF!</definedName>
    <definedName name="Tong">#REF!</definedName>
    <definedName name="tongcong" localSheetId="2">'NF-2200-PID-01'!#REF!</definedName>
    <definedName name="tongcong" localSheetId="4">'PID-0101'!#REF!</definedName>
    <definedName name="tongcong" localSheetId="5">'PID-0101 (2)'!#REF!</definedName>
    <definedName name="tongcong">#REF!</definedName>
    <definedName name="Tra_DM_su_dung" localSheetId="2">'NF-2200-PID-01'!#REF!</definedName>
    <definedName name="Tra_DM_su_dung" localSheetId="4">'PID-0101'!#REF!</definedName>
    <definedName name="Tra_DM_su_dung" localSheetId="5">'PID-0101 (2)'!#REF!</definedName>
    <definedName name="Tra_DM_su_dung">#REF!</definedName>
    <definedName name="Tra_don_gia_KS" localSheetId="2">'NF-2200-PID-01'!#REF!</definedName>
    <definedName name="Tra_don_gia_KS" localSheetId="4">'PID-0101'!#REF!</definedName>
    <definedName name="Tra_don_gia_KS" localSheetId="5">'PID-0101 (2)'!#REF!</definedName>
    <definedName name="Tra_don_gia_KS">#REF!</definedName>
    <definedName name="Tra_DTCT" localSheetId="2">'NF-2200-PID-01'!#REF!</definedName>
    <definedName name="Tra_DTCT" localSheetId="4">'PID-0101'!#REF!</definedName>
    <definedName name="Tra_DTCT" localSheetId="5">'PID-0101 (2)'!#REF!</definedName>
    <definedName name="Tra_DTCT">#REF!</definedName>
    <definedName name="Tra_tim_hang_mucPT_trung" localSheetId="2">'NF-2200-PID-01'!#REF!</definedName>
    <definedName name="Tra_tim_hang_mucPT_trung" localSheetId="4">'PID-0101'!#REF!</definedName>
    <definedName name="Tra_tim_hang_mucPT_trung" localSheetId="5">'PID-0101 (2)'!#REF!</definedName>
    <definedName name="Tra_tim_hang_mucPT_trung">#REF!</definedName>
    <definedName name="TRA_VAT_LIEU" localSheetId="2">'NF-2200-PID-01'!#REF!</definedName>
    <definedName name="TRA_VAT_LIEU" localSheetId="4">'PID-0101'!#REF!</definedName>
    <definedName name="TRA_VAT_LIEU" localSheetId="5">'PID-0101 (2)'!#REF!</definedName>
    <definedName name="TRA_VAT_LIEU">#REF!</definedName>
    <definedName name="TRA_VL" localSheetId="2">'NF-2200-PID-01'!#REF!</definedName>
    <definedName name="TRA_VL" localSheetId="4">'PID-0101'!#REF!</definedName>
    <definedName name="TRA_VL" localSheetId="5">'PID-0101 (2)'!#REF!</definedName>
    <definedName name="TRA_VL">#REF!</definedName>
    <definedName name="TRAVL" localSheetId="2">'NF-2200-PID-01'!#REF!</definedName>
    <definedName name="TRAVL" localSheetId="4">'PID-0101'!#REF!</definedName>
    <definedName name="TRAVL" localSheetId="5">'PID-0101 (2)'!#REF!</definedName>
    <definedName name="TRAVL">#REF!</definedName>
    <definedName name="trh">#N/A</definedName>
    <definedName name="trt" localSheetId="2">'NF-2200-PID-01'!#REF!</definedName>
    <definedName name="trt" localSheetId="4">'PID-0101'!#REF!</definedName>
    <definedName name="trt" localSheetId="5">'PID-0101 (2)'!#REF!</definedName>
    <definedName name="trt">#REF!</definedName>
    <definedName name="tt" localSheetId="2">'NF-2200-PID-01'!#REF!</definedName>
    <definedName name="tt" localSheetId="4">'PID-0101'!#REF!</definedName>
    <definedName name="tt" localSheetId="5">'PID-0101 (2)'!#REF!</definedName>
    <definedName name="tt">#REF!</definedName>
    <definedName name="tthi" localSheetId="2">'NF-2200-PID-01'!#REF!</definedName>
    <definedName name="tthi" localSheetId="4">'PID-0101'!#REF!</definedName>
    <definedName name="tthi" localSheetId="5">'PID-0101 (2)'!#REF!</definedName>
    <definedName name="tthi">#REF!</definedName>
    <definedName name="TTLB1" localSheetId="2">'NF-2200-PID-01'!#REF!</definedName>
    <definedName name="TTLB1" localSheetId="4">'PID-0101'!#REF!</definedName>
    <definedName name="TTLB1" localSheetId="5">'PID-0101 (2)'!#REF!</definedName>
    <definedName name="TTLB1">#REF!</definedName>
    <definedName name="TTLB2" localSheetId="2">'NF-2200-PID-01'!#REF!</definedName>
    <definedName name="TTLB2" localSheetId="4">'PID-0101'!#REF!</definedName>
    <definedName name="TTLB2" localSheetId="5">'PID-0101 (2)'!#REF!</definedName>
    <definedName name="TTLB2">#REF!</definedName>
    <definedName name="TTLB3" localSheetId="2">'NF-2200-PID-01'!#REF!</definedName>
    <definedName name="TTLB3" localSheetId="4">'PID-0101'!#REF!</definedName>
    <definedName name="TTLB3" localSheetId="5">'PID-0101 (2)'!#REF!</definedName>
    <definedName name="TTLB3">#REF!</definedName>
    <definedName name="ty_le" localSheetId="2">'NF-2200-PID-01'!#REF!</definedName>
    <definedName name="ty_le" localSheetId="4">'PID-0101'!#REF!</definedName>
    <definedName name="ty_le" localSheetId="5">'PID-0101 (2)'!#REF!</definedName>
    <definedName name="ty_le">#REF!</definedName>
    <definedName name="ty_le_BTN" localSheetId="2">'NF-2200-PID-01'!#REF!</definedName>
    <definedName name="ty_le_BTN" localSheetId="4">'PID-0101'!#REF!</definedName>
    <definedName name="ty_le_BTN" localSheetId="5">'PID-0101 (2)'!#REF!</definedName>
    <definedName name="ty_le_BTN">#REF!</definedName>
    <definedName name="Ty_le1" localSheetId="2">'NF-2200-PID-01'!#REF!</definedName>
    <definedName name="Ty_le1" localSheetId="4">'PID-0101'!#REF!</definedName>
    <definedName name="Ty_le1" localSheetId="5">'PID-0101 (2)'!#REF!</definedName>
    <definedName name="Ty_le1">#REF!</definedName>
    <definedName name="u">#N/A</definedName>
    <definedName name="UNITOK" localSheetId="2">[6]!UNITOK</definedName>
    <definedName name="UNITOK" localSheetId="3">#REF!</definedName>
    <definedName name="UNITOK" localSheetId="4">[6]!UNITOK</definedName>
    <definedName name="UNITOK" localSheetId="5">[6]!UNITOK</definedName>
    <definedName name="UNITOK">[6]!UNITOK</definedName>
    <definedName name="v">#N/A</definedName>
    <definedName name="VARIINST" localSheetId="2">'NF-2200-PID-01'!#REF!</definedName>
    <definedName name="VARIINST" localSheetId="4">'PID-0101'!#REF!</definedName>
    <definedName name="VARIINST" localSheetId="5">'PID-0101 (2)'!#REF!</definedName>
    <definedName name="VARIINST">#REF!</definedName>
    <definedName name="VARIPURC" localSheetId="2">'NF-2200-PID-01'!#REF!</definedName>
    <definedName name="VARIPURC" localSheetId="4">'PID-0101'!#REF!</definedName>
    <definedName name="VARIPURC" localSheetId="5">'PID-0101 (2)'!#REF!</definedName>
    <definedName name="VARIPURC">#REF!</definedName>
    <definedName name="vat" localSheetId="2">'NF-2200-PID-01'!#REF!</definedName>
    <definedName name="vat" localSheetId="4">'PID-0101'!#REF!</definedName>
    <definedName name="vat" localSheetId="5">'PID-0101 (2)'!#REF!</definedName>
    <definedName name="vat">#REF!</definedName>
    <definedName name="vbt400d" localSheetId="2">'NF-2200-PID-01'!#REF!</definedName>
    <definedName name="vbt400d" localSheetId="4">'PID-0101'!#REF!</definedName>
    <definedName name="vbt400d" localSheetId="5">'PID-0101 (2)'!#REF!</definedName>
    <definedName name="vbt400d">#REF!</definedName>
    <definedName name="vbta" localSheetId="2">'NF-2200-PID-01'!#REF!</definedName>
    <definedName name="vbta" localSheetId="4">'PID-0101'!#REF!</definedName>
    <definedName name="vbta" localSheetId="5">'PID-0101 (2)'!#REF!</definedName>
    <definedName name="vbta">#REF!</definedName>
    <definedName name="vbtB" localSheetId="2">'NF-2200-PID-01'!#REF!</definedName>
    <definedName name="vbtB" localSheetId="4">'PID-0101'!#REF!</definedName>
    <definedName name="vbtB" localSheetId="5">'PID-0101 (2)'!#REF!</definedName>
    <definedName name="vbtB">#REF!</definedName>
    <definedName name="vbtD" localSheetId="2">'NF-2200-PID-01'!#REF!</definedName>
    <definedName name="vbtD" localSheetId="4">'PID-0101'!#REF!</definedName>
    <definedName name="vbtD" localSheetId="5">'PID-0101 (2)'!#REF!</definedName>
    <definedName name="vbtD">#REF!</definedName>
    <definedName name="vbtE" localSheetId="2">'NF-2200-PID-01'!#REF!</definedName>
    <definedName name="vbtE" localSheetId="4">'PID-0101'!#REF!</definedName>
    <definedName name="vbtE" localSheetId="5">'PID-0101 (2)'!#REF!</definedName>
    <definedName name="vbtE">#REF!</definedName>
    <definedName name="vbtF" localSheetId="2">'NF-2200-PID-01'!#REF!</definedName>
    <definedName name="vbtF" localSheetId="4">'PID-0101'!#REF!</definedName>
    <definedName name="vbtF" localSheetId="5">'PID-0101 (2)'!#REF!</definedName>
    <definedName name="vbtF">#REF!</definedName>
    <definedName name="vbtg" localSheetId="2">'NF-2200-PID-01'!#REF!</definedName>
    <definedName name="vbtg" localSheetId="4">'PID-0101'!#REF!</definedName>
    <definedName name="vbtg" localSheetId="5">'PID-0101 (2)'!#REF!</definedName>
    <definedName name="vbtg">#REF!</definedName>
    <definedName name="viet" localSheetId="2">'NF-2200-PID-01'!#REF!</definedName>
    <definedName name="viet" localSheetId="4">'PID-0101'!#REF!</definedName>
    <definedName name="viet" localSheetId="5">'PID-0101 (2)'!#REF!</definedName>
    <definedName name="viet">#REF!</definedName>
    <definedName name="vtu" localSheetId="2">'NF-2200-PID-01'!#REF!</definedName>
    <definedName name="vtu" localSheetId="4">'PID-0101'!#REF!</definedName>
    <definedName name="vtu" localSheetId="5">'PID-0101 (2)'!#REF!</definedName>
    <definedName name="vtu">#REF!</definedName>
    <definedName name="w">#N/A</definedName>
    <definedName name="waterway" localSheetId="2">'NF-2200-PID-01'!#REF!</definedName>
    <definedName name="waterway" localSheetId="4">'PID-0101'!#REF!</definedName>
    <definedName name="waterway" localSheetId="5">'PID-0101 (2)'!#REF!</definedName>
    <definedName name="waterway">#REF!</definedName>
    <definedName name="x">#N/A</definedName>
    <definedName name="xd0.6" localSheetId="2">'NF-2200-PID-01'!#REF!</definedName>
    <definedName name="xd0.6" localSheetId="4">'PID-0101'!#REF!</definedName>
    <definedName name="xd0.6" localSheetId="5">'PID-0101 (2)'!#REF!</definedName>
    <definedName name="xd0.6">#REF!</definedName>
    <definedName name="xd1.3" localSheetId="2">'NF-2200-PID-01'!#REF!</definedName>
    <definedName name="xd1.3" localSheetId="4">'PID-0101'!#REF!</definedName>
    <definedName name="xd1.3" localSheetId="5">'PID-0101 (2)'!#REF!</definedName>
    <definedName name="xd1.3">#REF!</definedName>
    <definedName name="xd1.5" localSheetId="2">'NF-2200-PID-01'!#REF!</definedName>
    <definedName name="xd1.5" localSheetId="4">'PID-0101'!#REF!</definedName>
    <definedName name="xd1.5" localSheetId="5">'PID-0101 (2)'!#REF!</definedName>
    <definedName name="xd1.5">#REF!</definedName>
    <definedName name="xh" localSheetId="2">'NF-2200-PID-01'!#REF!</definedName>
    <definedName name="xh" localSheetId="4">'PID-0101'!#REF!</definedName>
    <definedName name="xh" localSheetId="5">'PID-0101 (2)'!#REF!</definedName>
    <definedName name="xh">#REF!</definedName>
    <definedName name="xk0.6" localSheetId="2">'NF-2200-PID-01'!#REF!</definedName>
    <definedName name="xk0.6" localSheetId="4">'PID-0101'!#REF!</definedName>
    <definedName name="xk0.6" localSheetId="5">'PID-0101 (2)'!#REF!</definedName>
    <definedName name="xk0.6">#REF!</definedName>
    <definedName name="xk1.3" localSheetId="2">'NF-2200-PID-01'!#REF!</definedName>
    <definedName name="xk1.3" localSheetId="4">'PID-0101'!#REF!</definedName>
    <definedName name="xk1.3" localSheetId="5">'PID-0101 (2)'!#REF!</definedName>
    <definedName name="xk1.3">#REF!</definedName>
    <definedName name="xk1.5" localSheetId="2">'NF-2200-PID-01'!#REF!</definedName>
    <definedName name="xk1.5" localSheetId="4">'PID-0101'!#REF!</definedName>
    <definedName name="xk1.5" localSheetId="5">'PID-0101 (2)'!#REF!</definedName>
    <definedName name="xk1.5">#REF!</definedName>
    <definedName name="xl" localSheetId="2">'NF-2200-PID-01'!#REF!</definedName>
    <definedName name="xl" localSheetId="4">'PID-0101'!#REF!</definedName>
    <definedName name="xl" localSheetId="5">'PID-0101 (2)'!#REF!</definedName>
    <definedName name="xl">#REF!</definedName>
    <definedName name="xlc" localSheetId="2">'NF-2200-PID-01'!#REF!</definedName>
    <definedName name="xlc" localSheetId="4">'PID-0101'!#REF!</definedName>
    <definedName name="xlc" localSheetId="5">'PID-0101 (2)'!#REF!</definedName>
    <definedName name="xlc">#REF!</definedName>
    <definedName name="xld1.4" localSheetId="2">'NF-2200-PID-01'!#REF!</definedName>
    <definedName name="xld1.4" localSheetId="4">'PID-0101'!#REF!</definedName>
    <definedName name="xld1.4" localSheetId="5">'PID-0101 (2)'!#REF!</definedName>
    <definedName name="xld1.4">#REF!</definedName>
    <definedName name="xlk" localSheetId="2">'NF-2200-PID-01'!#REF!</definedName>
    <definedName name="xlk" localSheetId="4">'PID-0101'!#REF!</definedName>
    <definedName name="xlk" localSheetId="5">'PID-0101 (2)'!#REF!</definedName>
    <definedName name="xlk">#REF!</definedName>
    <definedName name="xlk1.4" localSheetId="2">'NF-2200-PID-01'!#REF!</definedName>
    <definedName name="xlk1.4" localSheetId="4">'PID-0101'!#REF!</definedName>
    <definedName name="xlk1.4" localSheetId="5">'PID-0101 (2)'!#REF!</definedName>
    <definedName name="xlk1.4">#REF!</definedName>
    <definedName name="xn" localSheetId="2">'NF-2200-PID-01'!#REF!</definedName>
    <definedName name="xn" localSheetId="4">'PID-0101'!#REF!</definedName>
    <definedName name="xn" localSheetId="5">'PID-0101 (2)'!#REF!</definedName>
    <definedName name="xn">#REF!</definedName>
    <definedName name="xx" localSheetId="2">'NF-2200-PID-01'!#REF!</definedName>
    <definedName name="xx" localSheetId="4">'PID-0101'!#REF!</definedName>
    <definedName name="xx" localSheetId="5">'PID-0101 (2)'!#REF!</definedName>
    <definedName name="xx">#REF!</definedName>
    <definedName name="y">#N/A</definedName>
    <definedName name="yrjhjdfgh">#N/A</definedName>
    <definedName name="z">#N/A</definedName>
    <definedName name="Z_14464C38_68B9_4188_97D7_7378D773AFD5_.wvu.FilterData" localSheetId="2" hidden="1">'NF-2200-PID-01'!$I$3:$W$28</definedName>
    <definedName name="Z_14464C38_68B9_4188_97D7_7378D773AFD5_.wvu.FilterData" localSheetId="4" hidden="1">'PID-0101'!$M$3:$X$56</definedName>
    <definedName name="Z_14464C38_68B9_4188_97D7_7378D773AFD5_.wvu.FilterData" localSheetId="5" hidden="1">'PID-0101 (2)'!$D$3:$F$58</definedName>
    <definedName name="Z_14464C38_68B9_4188_97D7_7378D773AFD5_.wvu.PrintArea" localSheetId="0" hidden="1">'Cover sheet'!$A$1:$H$28</definedName>
    <definedName name="Z_14464C38_68B9_4188_97D7_7378D773AFD5_.wvu.PrintArea" localSheetId="1" hidden="1">'Front page'!$A$1:$Y$50</definedName>
    <definedName name="Z_14464C38_68B9_4188_97D7_7378D773AFD5_.wvu.PrintArea" localSheetId="2" hidden="1">'NF-2200-PID-01'!$A$1:$CK$44</definedName>
    <definedName name="Z_14464C38_68B9_4188_97D7_7378D773AFD5_.wvu.PrintArea" localSheetId="4" hidden="1">'PID-0101'!$A$1:$CM$78</definedName>
    <definedName name="Z_14464C38_68B9_4188_97D7_7378D773AFD5_.wvu.PrintArea" localSheetId="5" hidden="1">'PID-0101 (2)'!$A$1:$X$715</definedName>
    <definedName name="Z_4B2152C0_165D_47F1_8933_57B3261F1379_.wvu.Cols" localSheetId="4" hidden="1">'PID-0101'!$Y:$Y,'PID-0101'!$AF:$AF</definedName>
    <definedName name="Z_4B2152C0_165D_47F1_8933_57B3261F1379_.wvu.Cols" localSheetId="5" hidden="1">'PID-0101 (2)'!#REF!,'PID-0101 (2)'!$K:$K</definedName>
    <definedName name="Z_4B2152C0_165D_47F1_8933_57B3261F1379_.wvu.FilterData" localSheetId="2" hidden="1">'NF-2200-PID-01'!$A$3:$DA$28</definedName>
    <definedName name="Z_4B2152C0_165D_47F1_8933_57B3261F1379_.wvu.FilterData" localSheetId="4" hidden="1">'PID-0101'!$A$6:$DJ$59</definedName>
    <definedName name="Z_4B2152C0_165D_47F1_8933_57B3261F1379_.wvu.FilterData" localSheetId="5" hidden="1">'PID-0101 (2)'!$A$6:$X$61</definedName>
    <definedName name="Z_4B2152C0_165D_47F1_8933_57B3261F1379_.wvu.PrintArea" localSheetId="0" hidden="1">'Cover sheet'!$A$1:$H$28</definedName>
    <definedName name="Z_4B2152C0_165D_47F1_8933_57B3261F1379_.wvu.PrintArea" localSheetId="1" hidden="1">'Front page'!$A$1:$Y$50</definedName>
    <definedName name="Z_4B2152C0_165D_47F1_8933_57B3261F1379_.wvu.PrintArea" localSheetId="2" hidden="1">'NF-2200-PID-01'!$A$1:$CK$44</definedName>
    <definedName name="Z_4B2152C0_165D_47F1_8933_57B3261F1379_.wvu.PrintArea" localSheetId="3" hidden="1">'page 1'!$B$2:$H$17</definedName>
    <definedName name="Z_4B2152C0_165D_47F1_8933_57B3261F1379_.wvu.PrintArea" localSheetId="4" hidden="1">'PID-0101'!$A$1:$CM$78</definedName>
    <definedName name="Z_4B2152C0_165D_47F1_8933_57B3261F1379_.wvu.PrintArea" localSheetId="5" hidden="1">'PID-0101 (2)'!$A$1:$X$715</definedName>
    <definedName name="Z_4B2152C0_165D_47F1_8933_57B3261F1379_.wvu.PrintTitles" localSheetId="4" hidden="1">'PID-0101'!$1:$6</definedName>
    <definedName name="Z_4B2152C0_165D_47F1_8933_57B3261F1379_.wvu.PrintTitles" localSheetId="5" hidden="1">'PID-0101 (2)'!$1:$6</definedName>
    <definedName name="Z_65692F4D_A6F4_4F51_A6D0_4E4EC15EED11_.wvu.FilterData" localSheetId="2" hidden="1">'NF-2200-PID-01'!$I$3:$W$28</definedName>
    <definedName name="Z_65692F4D_A6F4_4F51_A6D0_4E4EC15EED11_.wvu.FilterData" localSheetId="4" hidden="1">'PID-0101'!$M$3:$X$56</definedName>
    <definedName name="Z_65692F4D_A6F4_4F51_A6D0_4E4EC15EED11_.wvu.FilterData" localSheetId="5" hidden="1">'PID-0101 (2)'!$D$3:$F$58</definedName>
    <definedName name="Z_65692F4D_A6F4_4F51_A6D0_4E4EC15EED11_.wvu.PrintArea" localSheetId="0" hidden="1">'Cover sheet'!$A$1:$H$28</definedName>
    <definedName name="Z_65692F4D_A6F4_4F51_A6D0_4E4EC15EED11_.wvu.PrintArea" localSheetId="1" hidden="1">'Front page'!$A$1:$Y$50</definedName>
    <definedName name="Z_65692F4D_A6F4_4F51_A6D0_4E4EC15EED11_.wvu.PrintArea" localSheetId="2" hidden="1">'NF-2200-PID-01'!$A$1:$CK$44</definedName>
    <definedName name="Z_65692F4D_A6F4_4F51_A6D0_4E4EC15EED11_.wvu.PrintArea" localSheetId="4" hidden="1">'PID-0101'!$A$1:$CM$78</definedName>
    <definedName name="Z_65692F4D_A6F4_4F51_A6D0_4E4EC15EED11_.wvu.PrintArea" localSheetId="5" hidden="1">'PID-0101 (2)'!$A$1:$X$715</definedName>
    <definedName name="Z_7A5D05B8_9353_459F_820E_6ABF0D2B4CA2_.wvu.FilterData" localSheetId="2" hidden="1">'NF-2200-PID-01'!$I$3:$W$28</definedName>
    <definedName name="Z_7A5D05B8_9353_459F_820E_6ABF0D2B4CA2_.wvu.FilterData" localSheetId="4" hidden="1">'PID-0101'!$M$3:$X$56</definedName>
    <definedName name="Z_7A5D05B8_9353_459F_820E_6ABF0D2B4CA2_.wvu.FilterData" localSheetId="5" hidden="1">'PID-0101 (2)'!$D$3:$F$58</definedName>
    <definedName name="Z_86719351_5968_4EA0_800E_B2B807EE5A39_.wvu.FilterData" localSheetId="2" hidden="1">'NF-2200-PID-01'!$I$3:$W$28</definedName>
    <definedName name="Z_86719351_5968_4EA0_800E_B2B807EE5A39_.wvu.FilterData" localSheetId="4" hidden="1">'PID-0101'!$M$3:$X$56</definedName>
    <definedName name="Z_86719351_5968_4EA0_800E_B2B807EE5A39_.wvu.FilterData" localSheetId="5" hidden="1">'PID-0101 (2)'!$D$3:$F$58</definedName>
    <definedName name="Z_8E8F94B8_32E0_4E0F_AFA7_579F1B47CB3E_.wvu.FilterData" localSheetId="2" hidden="1">'NF-2200-PID-01'!$A$3:$DA$28</definedName>
    <definedName name="Z_8E8F94B8_32E0_4E0F_AFA7_579F1B47CB3E_.wvu.FilterData" localSheetId="4" hidden="1">'PID-0101'!$A$3:$DC$56</definedName>
    <definedName name="Z_8E8F94B8_32E0_4E0F_AFA7_579F1B47CB3E_.wvu.FilterData" localSheetId="5" hidden="1">'PID-0101 (2)'!$A$3:$X$58</definedName>
    <definedName name="Z_8E8F94B8_32E0_4E0F_AFA7_579F1B47CB3E_.wvu.PrintArea" localSheetId="0" hidden="1">'Cover sheet'!$A$1:$H$28</definedName>
    <definedName name="Z_8E8F94B8_32E0_4E0F_AFA7_579F1B47CB3E_.wvu.PrintArea" localSheetId="1" hidden="1">'Front page'!$A$1:$Y$50</definedName>
    <definedName name="Z_8E8F94B8_32E0_4E0F_AFA7_579F1B47CB3E_.wvu.PrintArea" localSheetId="2" hidden="1">'NF-2200-PID-01'!$A$1:$CK$44</definedName>
    <definedName name="Z_8E8F94B8_32E0_4E0F_AFA7_579F1B47CB3E_.wvu.PrintArea" localSheetId="4" hidden="1">'PID-0101'!$A$1:$CM$78</definedName>
    <definedName name="Z_8E8F94B8_32E0_4E0F_AFA7_579F1B47CB3E_.wvu.PrintArea" localSheetId="5" hidden="1">'PID-0101 (2)'!$A$1:$X$715</definedName>
    <definedName name="Z_9313348B_AF43_459E_B141_13E53440B183_.wvu.Cols" localSheetId="4" hidden="1">'PID-0101'!$Y:$Y,'PID-0101'!$AF:$AF</definedName>
    <definedName name="Z_9313348B_AF43_459E_B141_13E53440B183_.wvu.Cols" localSheetId="5" hidden="1">'PID-0101 (2)'!#REF!,'PID-0101 (2)'!$K:$K</definedName>
    <definedName name="Z_9313348B_AF43_459E_B141_13E53440B183_.wvu.FilterData" localSheetId="2" hidden="1">'NF-2200-PID-01'!$A$3:$DA$28</definedName>
    <definedName name="Z_9313348B_AF43_459E_B141_13E53440B183_.wvu.FilterData" localSheetId="4" hidden="1">'PID-0101'!$A$6:$DJ$59</definedName>
    <definedName name="Z_9313348B_AF43_459E_B141_13E53440B183_.wvu.FilterData" localSheetId="5" hidden="1">'PID-0101 (2)'!$A$6:$X$61</definedName>
    <definedName name="Z_9313348B_AF43_459E_B141_13E53440B183_.wvu.PrintArea" localSheetId="0" hidden="1">'Cover sheet'!$A$1:$H$28</definedName>
    <definedName name="Z_9313348B_AF43_459E_B141_13E53440B183_.wvu.PrintArea" localSheetId="1" hidden="1">'Front page'!$A$1:$Y$50</definedName>
    <definedName name="Z_9313348B_AF43_459E_B141_13E53440B183_.wvu.PrintArea" localSheetId="2" hidden="1">'NF-2200-PID-01'!$A$1:$CK$44</definedName>
    <definedName name="Z_9313348B_AF43_459E_B141_13E53440B183_.wvu.PrintArea" localSheetId="3" hidden="1">'page 1'!$B$2:$H$17</definedName>
    <definedName name="Z_9313348B_AF43_459E_B141_13E53440B183_.wvu.PrintArea" localSheetId="4" hidden="1">'PID-0101'!$A$1:$CM$78</definedName>
    <definedName name="Z_9313348B_AF43_459E_B141_13E53440B183_.wvu.PrintArea" localSheetId="5" hidden="1">'PID-0101 (2)'!$A$1:$X$715</definedName>
    <definedName name="Z_9313348B_AF43_459E_B141_13E53440B183_.wvu.PrintTitles" localSheetId="4" hidden="1">'PID-0101'!$1:$6</definedName>
    <definedName name="Z_9313348B_AF43_459E_B141_13E53440B183_.wvu.PrintTitles" localSheetId="5" hidden="1">'PID-0101 (2)'!$1:$6</definedName>
    <definedName name="Z_9B10B627_434C_4F46_A642_4F5EA1395AB4_.wvu.FilterData" localSheetId="2" hidden="1">'NF-2200-PID-01'!$I$3:$W$28</definedName>
    <definedName name="Z_9B10B627_434C_4F46_A642_4F5EA1395AB4_.wvu.FilterData" localSheetId="4" hidden="1">'PID-0101'!$M$3:$X$56</definedName>
    <definedName name="Z_9B10B627_434C_4F46_A642_4F5EA1395AB4_.wvu.FilterData" localSheetId="5" hidden="1">'PID-0101 (2)'!$D$3:$F$58</definedName>
    <definedName name="Z_9B10B627_434C_4F46_A642_4F5EA1395AB4_.wvu.PrintArea" localSheetId="0" hidden="1">'Cover sheet'!$A$1:$H$28</definedName>
    <definedName name="Z_9B10B627_434C_4F46_A642_4F5EA1395AB4_.wvu.PrintArea" localSheetId="1" hidden="1">'Front page'!$A$1:$Y$50</definedName>
    <definedName name="Z_9B10B627_434C_4F46_A642_4F5EA1395AB4_.wvu.PrintArea" localSheetId="2" hidden="1">'NF-2200-PID-01'!$A$1:$CK$44</definedName>
    <definedName name="Z_9B10B627_434C_4F46_A642_4F5EA1395AB4_.wvu.PrintArea" localSheetId="4" hidden="1">'PID-0101'!$A$1:$CM$78</definedName>
    <definedName name="Z_9B10B627_434C_4F46_A642_4F5EA1395AB4_.wvu.PrintArea" localSheetId="5" hidden="1">'PID-0101 (2)'!$A$1:$X$715</definedName>
    <definedName name="Z_CBF53F97_ED2F_4FF6_AB07_39F040F3005A_.wvu.FilterData" localSheetId="2" hidden="1">'NF-2200-PID-01'!$I$3:$W$28</definedName>
    <definedName name="Z_CBF53F97_ED2F_4FF6_AB07_39F040F3005A_.wvu.FilterData" localSheetId="4" hidden="1">'PID-0101'!$M$3:$X$56</definedName>
    <definedName name="Z_CBF53F97_ED2F_4FF6_AB07_39F040F3005A_.wvu.FilterData" localSheetId="5" hidden="1">'PID-0101 (2)'!$D$3:$F$58</definedName>
    <definedName name="Z_CBF53F97_ED2F_4FF6_AB07_39F040F3005A_.wvu.PrintArea" localSheetId="0" hidden="1">'Cover sheet'!$A$1:$H$28</definedName>
    <definedName name="Z_CBF53F97_ED2F_4FF6_AB07_39F040F3005A_.wvu.PrintArea" localSheetId="1" hidden="1">'Front page'!$A$1:$Y$50</definedName>
    <definedName name="Z_CBF53F97_ED2F_4FF6_AB07_39F040F3005A_.wvu.PrintArea" localSheetId="2" hidden="1">'NF-2200-PID-01'!$A$1:$CK$44</definedName>
    <definedName name="Z_CBF53F97_ED2F_4FF6_AB07_39F040F3005A_.wvu.PrintArea" localSheetId="4" hidden="1">'PID-0101'!$A$1:$CM$78</definedName>
    <definedName name="Z_CBF53F97_ED2F_4FF6_AB07_39F040F3005A_.wvu.PrintArea" localSheetId="5" hidden="1">'PID-0101 (2)'!$A$1:$X$715</definedName>
    <definedName name="ZYX" localSheetId="2">'NF-2200-PID-01'!#REF!</definedName>
    <definedName name="ZYX" localSheetId="4">'PID-0101'!#REF!</definedName>
    <definedName name="ZYX" localSheetId="5">'PID-0101 (2)'!#REF!</definedName>
    <definedName name="ZYX">#REF!</definedName>
    <definedName name="ZZZ" localSheetId="2">'NF-2200-PID-01'!#REF!</definedName>
    <definedName name="ZZZ" localSheetId="4">'PID-0101'!#REF!</definedName>
    <definedName name="ZZZ" localSheetId="5">'PID-0101 (2)'!#REF!</definedName>
    <definedName name="ZZZ">#REF!</definedName>
    <definedName name="もりた" localSheetId="2">'NF-2200-PID-01'!#REF!</definedName>
    <definedName name="もりた" localSheetId="4">'PID-0101'!#REF!</definedName>
    <definedName name="もりた" localSheetId="5">'PID-0101 (2)'!#REF!</definedName>
    <definedName name="もりた">#REF!</definedName>
    <definedName name="勝" localSheetId="2">'NF-2200-PID-01'!#REF!</definedName>
    <definedName name="勝" localSheetId="4">'PID-0101'!#REF!</definedName>
    <definedName name="勝" localSheetId="5">'PID-0101 (2)'!#REF!</definedName>
    <definedName name="勝">#REF!</definedName>
    <definedName name="工事" localSheetId="2">'NF-2200-PID-01'!#REF!</definedName>
    <definedName name="工事" localSheetId="4">'PID-0101'!#REF!</definedName>
    <definedName name="工事" localSheetId="5">'PID-0101 (2)'!#REF!</definedName>
    <definedName name="工事">#REF!</definedName>
    <definedName name="現法" localSheetId="2">'NF-2200-PID-01'!#REF!</definedName>
    <definedName name="現法" localSheetId="4">'PID-0101'!#REF!</definedName>
    <definedName name="現法" localSheetId="5">'PID-0101 (2)'!#REF!</definedName>
    <definedName name="現法">#REF!</definedName>
    <definedName name="直轄" localSheetId="2">'NF-2200-PID-01'!#REF!</definedName>
    <definedName name="直轄" localSheetId="4">'PID-0101'!#REF!</definedName>
    <definedName name="直轄" localSheetId="5">'PID-0101 (2)'!#REF!</definedName>
    <definedName name="直轄">#REF!</definedName>
  </definedNames>
  <calcPr calcId="191028"/>
  <customWorkbookViews>
    <customWorkbookView name="Rahul Panchal - Personal View" guid="{8E8F94B8-32E0-4E0F-AFA7-579F1B47CB3E}" mergeInterval="0" personalView="1" maximized="1" xWindow="-8" yWindow="-8" windowWidth="1936" windowHeight="1056" tabRatio="784" activeSheetId="5"/>
    <customWorkbookView name="User 3 - Personal View" guid="{CBF53F97-ED2F-4FF6-AB07-39F040F3005A}" mergeInterval="0" personalView="1" maximized="1" xWindow="-8" yWindow="-8" windowWidth="1936" windowHeight="1056" tabRatio="784" activeSheetId="6"/>
    <customWorkbookView name="User 2 - Personal View" guid="{14464C38-68B9-4188-97D7-7378D773AFD5}" mergeInterval="0" personalView="1" maximized="1" xWindow="-8" yWindow="-8" windowWidth="1936" windowHeight="1056" tabRatio="784" activeSheetId="10"/>
    <customWorkbookView name="User 4 - Personal View" guid="{9B10B627-434C-4F46-A642-4F5EA1395AB4}" mergeInterval="0" personalView="1" maximized="1" xWindow="-1928" yWindow="-73" windowWidth="1936" windowHeight="1056" tabRatio="784" activeSheetId="4"/>
    <customWorkbookView name="User 6 - Personal View" guid="{65692F4D-A6F4-4F51-A6D0-4E4EC15EED11}" mergeInterval="0" personalView="1" maximized="1" xWindow="-9" yWindow="-9" windowWidth="1938" windowHeight="1048" tabRatio="784" activeSheetId="4"/>
    <customWorkbookView name="Sumedha Sharma - Personal View" guid="{4B2152C0-165D-47F1-8933-57B3261F1379}" mergeInterval="0" personalView="1" maximized="1" xWindow="-8" yWindow="-8" windowWidth="1936" windowHeight="1048" tabRatio="782" activeSheetId="6"/>
    <customWorkbookView name="Sudarshan Tripunath - Personal View" guid="{9313348B-AF43-459E-B141-13E53440B183}" mergeInterval="0" personalView="1" maximized="1" xWindow="-8" yWindow="-8" windowWidth="1936" windowHeight="1048" tabRatio="782" activeSheetId="6"/>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C29" i="5" l="1"/>
  <c r="BC28" i="5"/>
  <c r="BC14" i="5"/>
  <c r="BC13" i="5"/>
  <c r="BC10" i="5"/>
  <c r="BC9" i="5"/>
  <c r="BC8" i="5"/>
  <c r="BC7" i="5"/>
  <c r="CT16" i="5"/>
  <c r="CT15" i="5"/>
  <c r="CK77" i="5"/>
  <c r="CH71" i="5"/>
  <c r="CH72" i="5"/>
  <c r="CH73" i="5"/>
  <c r="BC23" i="5"/>
  <c r="BC24" i="5"/>
  <c r="BC25" i="5"/>
  <c r="BC26" i="5"/>
  <c r="BC27" i="5"/>
  <c r="BC22" i="5"/>
  <c r="A8" i="5"/>
  <c r="A9" i="5" s="1"/>
  <c r="A10" i="5" s="1"/>
  <c r="A11" i="5" s="1"/>
  <c r="A12" i="5" s="1"/>
  <c r="A13" i="5" s="1"/>
  <c r="A14" i="5" s="1"/>
  <c r="A15" i="5" s="1"/>
  <c r="A16" i="5" s="1"/>
  <c r="A17" i="5" s="1"/>
  <c r="A18" i="5" s="1"/>
  <c r="A19" i="5" s="1"/>
  <c r="A20" i="5" l="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CI43" i="3"/>
  <c r="BI38" i="3"/>
  <c r="BF38" i="3"/>
  <c r="AR38" i="3"/>
  <c r="AU38" i="3"/>
  <c r="AL38" i="3"/>
  <c r="BM43" i="3" l="1"/>
  <c r="AN38" i="3"/>
  <c r="CF39" i="3" l="1"/>
  <c r="CF38" i="3"/>
  <c r="CF37" i="3"/>
  <c r="N5" i="2" l="1"/>
  <c r="C48" i="2" l="1"/>
  <c r="H2" i="2"/>
  <c r="H5" i="2" l="1"/>
  <c r="H4" i="2"/>
  <c r="H3"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<sst xmlns="http://schemas.openxmlformats.org/spreadsheetml/2006/main" count="1667" uniqueCount="465">
  <si>
    <t>Project</t>
  </si>
  <si>
    <t>Project No.</t>
  </si>
  <si>
    <t>Originating  Company</t>
  </si>
  <si>
    <t>Document Title</t>
  </si>
  <si>
    <t>Line List</t>
  </si>
  <si>
    <t>Document Number</t>
  </si>
  <si>
    <t>Document Revision</t>
  </si>
  <si>
    <t>Document Status</t>
  </si>
  <si>
    <t>APR</t>
  </si>
  <si>
    <t>Document type</t>
  </si>
  <si>
    <t>List</t>
  </si>
  <si>
    <t>Originator / Author</t>
  </si>
  <si>
    <t>DJM</t>
  </si>
  <si>
    <t>Issue Date</t>
  </si>
  <si>
    <t>P1</t>
  </si>
  <si>
    <t>Issued for Approval</t>
  </si>
  <si>
    <t>HRS</t>
  </si>
  <si>
    <t>SBR</t>
  </si>
  <si>
    <t>Rev #</t>
  </si>
  <si>
    <t>Description/Reason for Change</t>
  </si>
  <si>
    <t>Originator</t>
  </si>
  <si>
    <t xml:space="preserve">Reviewer </t>
  </si>
  <si>
    <t>Approver</t>
  </si>
  <si>
    <t>Project Number</t>
  </si>
  <si>
    <t>:</t>
  </si>
  <si>
    <t>Project Title</t>
  </si>
  <si>
    <t>Document number</t>
  </si>
  <si>
    <t>Date</t>
  </si>
  <si>
    <t>Nomenclatur for Equipment List</t>
  </si>
  <si>
    <t>V</t>
  </si>
  <si>
    <t>Vertical</t>
  </si>
  <si>
    <t>TBD</t>
  </si>
  <si>
    <t>To Be Decided</t>
  </si>
  <si>
    <t>H</t>
  </si>
  <si>
    <t>Horizontal</t>
  </si>
  <si>
    <t>CTS</t>
  </si>
  <si>
    <t>Client To Specify</t>
  </si>
  <si>
    <t>FL</t>
  </si>
  <si>
    <t>Flameproof</t>
  </si>
  <si>
    <t>DTCB</t>
  </si>
  <si>
    <t>Dished Top Conical Bottom</t>
  </si>
  <si>
    <t>ST</t>
  </si>
  <si>
    <t>Standard</t>
  </si>
  <si>
    <t>FBCT</t>
  </si>
  <si>
    <t>Flat Bottom Conical Top</t>
  </si>
  <si>
    <t>B/O</t>
  </si>
  <si>
    <t>Bought Out</t>
  </si>
  <si>
    <t>VDE</t>
  </si>
  <si>
    <t>Vertical Dished End</t>
  </si>
  <si>
    <t>FAB</t>
  </si>
  <si>
    <t>Fabricated</t>
  </si>
  <si>
    <t>FBFT</t>
  </si>
  <si>
    <t>Flat Bottom Flat Top</t>
  </si>
  <si>
    <t>TL</t>
  </si>
  <si>
    <t>Tile Lined</t>
  </si>
  <si>
    <t>FTCB</t>
  </si>
  <si>
    <t>Flat Top Conical Bottom</t>
  </si>
  <si>
    <t>GL</t>
  </si>
  <si>
    <t>Glass Lined</t>
  </si>
  <si>
    <t>T</t>
  </si>
  <si>
    <t>Total</t>
  </si>
  <si>
    <t>RL</t>
  </si>
  <si>
    <t>Rubber Lined</t>
  </si>
  <si>
    <t>W</t>
  </si>
  <si>
    <t>Working</t>
  </si>
  <si>
    <t>BR</t>
  </si>
  <si>
    <t>Brick Lined</t>
  </si>
  <si>
    <t>SB</t>
  </si>
  <si>
    <t>Stand-by</t>
  </si>
  <si>
    <r>
      <t>N</t>
    </r>
    <r>
      <rPr>
        <vertAlign val="subscript"/>
        <sz val="9"/>
        <color theme="1"/>
        <rFont val="Arial"/>
        <family val="2"/>
      </rPr>
      <t>HZ</t>
    </r>
  </si>
  <si>
    <t>Non Hazardous</t>
  </si>
  <si>
    <t>L</t>
  </si>
  <si>
    <t>Liquid</t>
  </si>
  <si>
    <r>
      <t>H</t>
    </r>
    <r>
      <rPr>
        <vertAlign val="subscript"/>
        <sz val="9"/>
        <color theme="1"/>
        <rFont val="Arial"/>
        <family val="2"/>
      </rPr>
      <t>Z</t>
    </r>
  </si>
  <si>
    <t>Hazardous</t>
  </si>
  <si>
    <t>G</t>
  </si>
  <si>
    <t>Gas</t>
  </si>
  <si>
    <t>Y</t>
  </si>
  <si>
    <t>Yes</t>
  </si>
  <si>
    <t>S</t>
  </si>
  <si>
    <t>Solid</t>
  </si>
  <si>
    <t>N</t>
  </si>
  <si>
    <t>No</t>
  </si>
  <si>
    <t>VF</t>
  </si>
  <si>
    <t>Variable Frequency</t>
  </si>
  <si>
    <t>EP</t>
  </si>
  <si>
    <t>Emergency Power</t>
  </si>
  <si>
    <t>THS</t>
  </si>
  <si>
    <t>Description / Reason for Change</t>
  </si>
  <si>
    <t>Reviewer</t>
  </si>
  <si>
    <t>Sr. No</t>
  </si>
  <si>
    <t>P &amp; ID
Number</t>
  </si>
  <si>
    <t>Service Code</t>
  </si>
  <si>
    <t>Line number</t>
  </si>
  <si>
    <t>Nominal pipe size
mm</t>
  </si>
  <si>
    <t>Pipe specs
MOC</t>
  </si>
  <si>
    <t>Fluid State</t>
  </si>
  <si>
    <t>Location</t>
  </si>
  <si>
    <t>Spec.
Gravity</t>
  </si>
  <si>
    <t>Temperature °C</t>
  </si>
  <si>
    <t>Electrical Continuity</t>
  </si>
  <si>
    <t>Tracing /
Jacketing</t>
  </si>
  <si>
    <t>Insulation</t>
  </si>
  <si>
    <t>Hazardous
H / NH</t>
  </si>
  <si>
    <t>Remark</t>
  </si>
  <si>
    <t>AMB</t>
  </si>
  <si>
    <t>-</t>
  </si>
  <si>
    <t>From</t>
  </si>
  <si>
    <t>To</t>
  </si>
  <si>
    <t>Nor.</t>
  </si>
  <si>
    <t>Max.</t>
  </si>
  <si>
    <t>Des.</t>
  </si>
  <si>
    <t>Class</t>
  </si>
  <si>
    <t>mm</t>
  </si>
  <si>
    <t>FW</t>
  </si>
  <si>
    <t>ATM</t>
  </si>
  <si>
    <t>PW</t>
  </si>
  <si>
    <t>SW</t>
  </si>
  <si>
    <t>CA</t>
  </si>
  <si>
    <t>IA</t>
  </si>
  <si>
    <t>LPS</t>
  </si>
  <si>
    <t>CON</t>
  </si>
  <si>
    <t>WW</t>
  </si>
  <si>
    <t>EF</t>
  </si>
  <si>
    <t>This document is issued for the party which commissioned it and for specific purposes connected with the captioned project only. It should not be relied upon by any other party or used for any other purpose.</t>
  </si>
  <si>
    <t xml:space="preserve">We accept no responsibility for the consequences of this document being relied upon by any other party, or being used for any other purpose, or containing any error or omission which is due to an error or omission in data supplied to us by other parties. </t>
  </si>
  <si>
    <t>Client</t>
  </si>
  <si>
    <t>Rev</t>
  </si>
  <si>
    <t>Prep</t>
  </si>
  <si>
    <t>Description</t>
  </si>
  <si>
    <t>Chk'd</t>
  </si>
  <si>
    <t>App'd</t>
  </si>
  <si>
    <t>Title</t>
  </si>
  <si>
    <t>Security</t>
  </si>
  <si>
    <t>Status</t>
  </si>
  <si>
    <t>STD</t>
  </si>
  <si>
    <t>25</t>
  </si>
  <si>
    <t>100</t>
  </si>
  <si>
    <t>40</t>
  </si>
  <si>
    <t>30</t>
  </si>
  <si>
    <t>50</t>
  </si>
  <si>
    <t>India</t>
  </si>
  <si>
    <t>CHW</t>
  </si>
  <si>
    <t>6</t>
  </si>
  <si>
    <t>9</t>
  </si>
  <si>
    <t>7 - 12</t>
  </si>
  <si>
    <t>18</t>
  </si>
  <si>
    <t>125</t>
  </si>
  <si>
    <t>140</t>
  </si>
  <si>
    <t>165</t>
  </si>
  <si>
    <t>HO</t>
  </si>
  <si>
    <t>Note 4</t>
  </si>
  <si>
    <t>30-40</t>
  </si>
  <si>
    <t>65</t>
  </si>
  <si>
    <t>BLE</t>
  </si>
  <si>
    <t>#</t>
  </si>
  <si>
    <t>DMW</t>
  </si>
  <si>
    <t>10</t>
  </si>
  <si>
    <t>MW</t>
  </si>
  <si>
    <t>NaOH</t>
  </si>
  <si>
    <t>SF</t>
  </si>
  <si>
    <t>45-50</t>
  </si>
  <si>
    <t>55</t>
  </si>
  <si>
    <t>WWA</t>
  </si>
  <si>
    <t>40-45</t>
  </si>
  <si>
    <t>WWB</t>
  </si>
  <si>
    <t>EA</t>
  </si>
  <si>
    <t>0.015</t>
  </si>
  <si>
    <t>120</t>
  </si>
  <si>
    <t>150</t>
  </si>
  <si>
    <t>SA</t>
  </si>
  <si>
    <t>60</t>
  </si>
  <si>
    <t>35-40</t>
  </si>
  <si>
    <t>AA</t>
  </si>
  <si>
    <t>6 #</t>
  </si>
  <si>
    <t>AMB #</t>
  </si>
  <si>
    <t>30-40 #</t>
  </si>
  <si>
    <t>65 #</t>
  </si>
  <si>
    <t>CL</t>
  </si>
  <si>
    <t>TWN</t>
  </si>
  <si>
    <t>4</t>
  </si>
  <si>
    <t>7</t>
  </si>
  <si>
    <t>20 - 50</t>
  </si>
  <si>
    <t>70</t>
  </si>
  <si>
    <t>TWC</t>
  </si>
  <si>
    <t>4.5</t>
  </si>
  <si>
    <t>30-60</t>
  </si>
  <si>
    <t>EW</t>
  </si>
  <si>
    <t>AB</t>
  </si>
  <si>
    <t>Note 3</t>
  </si>
  <si>
    <t>20-22</t>
  </si>
  <si>
    <t>MES</t>
  </si>
  <si>
    <t>R-B</t>
  </si>
  <si>
    <t>R-C</t>
  </si>
  <si>
    <t>BA</t>
  </si>
  <si>
    <t>HPS</t>
  </si>
  <si>
    <t>17</t>
  </si>
  <si>
    <t>15.5</t>
  </si>
  <si>
    <t>CW</t>
  </si>
  <si>
    <t>32-37</t>
  </si>
  <si>
    <t>45</t>
  </si>
  <si>
    <t>HW</t>
  </si>
  <si>
    <t>80-70</t>
  </si>
  <si>
    <t>90</t>
  </si>
  <si>
    <t>40-50</t>
  </si>
  <si>
    <t>HYPW</t>
  </si>
  <si>
    <t>Pressure bar (g)</t>
  </si>
  <si>
    <t>1 - 1.5</t>
  </si>
  <si>
    <t>2-3</t>
  </si>
  <si>
    <t>Vcare Engineering pvt ltd</t>
  </si>
  <si>
    <t xml:space="preserve">301/A, Block E, Notus Pride IT Park, </t>
  </si>
  <si>
    <t>Sarabhai Campus, Subhanpura Rd,</t>
  </si>
  <si>
    <t>Gorwa,Vadodara, Gujarat 390023</t>
  </si>
  <si>
    <t xml:space="preserve">`@Vacre-global </t>
  </si>
  <si>
    <t>7.5</t>
  </si>
  <si>
    <t>2.5</t>
  </si>
  <si>
    <t>110*</t>
  </si>
  <si>
    <t>3-5</t>
  </si>
  <si>
    <t>5.5</t>
  </si>
  <si>
    <t>6-8</t>
  </si>
  <si>
    <t>3-3.5</t>
  </si>
  <si>
    <t>6-7</t>
  </si>
  <si>
    <t>7.7</t>
  </si>
  <si>
    <t>0.012</t>
  </si>
  <si>
    <t>--</t>
  </si>
  <si>
    <t>3-5 #</t>
  </si>
  <si>
    <t>5.5 #</t>
  </si>
  <si>
    <t>5</t>
  </si>
  <si>
    <t>185-220</t>
  </si>
  <si>
    <t>10 -14</t>
  </si>
  <si>
    <t>7-8</t>
  </si>
  <si>
    <t>HYBP</t>
  </si>
  <si>
    <t>code</t>
  </si>
  <si>
    <t>pressure</t>
  </si>
  <si>
    <t>opt</t>
  </si>
  <si>
    <t>max</t>
  </si>
  <si>
    <t>design</t>
  </si>
  <si>
    <t>temperature</t>
  </si>
  <si>
    <r>
      <t xml:space="preserve">NOTES </t>
    </r>
    <r>
      <rPr>
        <b/>
        <sz val="8"/>
        <color theme="1"/>
        <rFont val="Arial"/>
        <family val="2"/>
      </rPr>
      <t>:</t>
    </r>
  </si>
  <si>
    <t>1) Line number shall be updated / changed in final P&amp;ID revision.</t>
  </si>
  <si>
    <t xml:space="preserve">65 </t>
  </si>
  <si>
    <t xml:space="preserve">30-40 </t>
  </si>
  <si>
    <t>Sheet No: 01 of 11</t>
  </si>
  <si>
    <t>LANXESS INDIA PVT LTD</t>
  </si>
  <si>
    <t xml:space="preserve">Jhagadia, Bharuch, Gujarat </t>
  </si>
  <si>
    <t>001-4030</t>
  </si>
  <si>
    <t>LO23</t>
  </si>
  <si>
    <t>50/80</t>
  </si>
  <si>
    <t>1441R04</t>
  </si>
  <si>
    <t>1436R32</t>
  </si>
  <si>
    <t>002-4030</t>
  </si>
  <si>
    <t>4030</t>
  </si>
  <si>
    <t>CS</t>
  </si>
  <si>
    <t>CTC</t>
  </si>
  <si>
    <t>YES</t>
  </si>
  <si>
    <t>LO46</t>
  </si>
  <si>
    <t>NO LINE NO IN AS BUILT P&amp;ID OF LIPL</t>
  </si>
  <si>
    <t>HOLD</t>
  </si>
  <si>
    <t>EXISTING LINE
JH:4030:001-L023-50/80-SS/BD-J-PNA MIAK/MCH/CHX</t>
  </si>
  <si>
    <t>PNA/MIAK/
MCH/CHX</t>
  </si>
  <si>
    <t>1436F32</t>
  </si>
  <si>
    <t>1456R01</t>
  </si>
  <si>
    <t>1) #: Not in Vcare SOW
2) Existing line of LIPL</t>
  </si>
  <si>
    <t>CS/SS</t>
  </si>
  <si>
    <t>LOXX / NO LINE NO</t>
  </si>
  <si>
    <t>1456F01</t>
  </si>
  <si>
    <t>003-4030</t>
  </si>
  <si>
    <t>LO-59-BD-WATER</t>
  </si>
  <si>
    <t>LO38-50-BD-WATER</t>
  </si>
  <si>
    <t>1) Steam Tracing / * CTC
2) New line in VCare SOW
3) Line no to be given by LIPL</t>
  </si>
  <si>
    <t>1) Electrical tracing / * CTC, 2) Line in VCare SOW, 3) Line no to be given by LIPL</t>
  </si>
  <si>
    <t>L060</t>
  </si>
  <si>
    <t>L037</t>
  </si>
  <si>
    <t>1436B09</t>
  </si>
  <si>
    <t>LO38-50-BD-4030</t>
  </si>
  <si>
    <t xml:space="preserve">1436P09 via LO38-50-BD-4030 </t>
  </si>
  <si>
    <t>L039</t>
  </si>
  <si>
    <t>L055-50-BD-MIAK/MCH/CHX</t>
  </si>
  <si>
    <t>004-4030</t>
  </si>
  <si>
    <t>MIAK</t>
  </si>
  <si>
    <t>L046-50-BD</t>
  </si>
  <si>
    <t>1456B04</t>
  </si>
  <si>
    <t>008-4030</t>
  </si>
  <si>
    <t>L012-50-BD1</t>
  </si>
  <si>
    <t>CS / CTC</t>
  </si>
  <si>
    <t>011-4030</t>
  </si>
  <si>
    <t>L015</t>
  </si>
  <si>
    <t>L067</t>
  </si>
  <si>
    <t>SUMP</t>
  </si>
  <si>
    <t>1) Electrical tracing / * CTC, 
2) Line in VCare SOW</t>
  </si>
  <si>
    <t>WCES26-007-PR-PID-001</t>
  </si>
  <si>
    <t>NH3</t>
  </si>
  <si>
    <t>10101</t>
  </si>
  <si>
    <t xml:space="preserve">Road tanker </t>
  </si>
  <si>
    <t>P-101A</t>
  </si>
  <si>
    <t>0.0</t>
  </si>
  <si>
    <t>10102</t>
  </si>
  <si>
    <t>P-101B</t>
  </si>
  <si>
    <t>10103</t>
  </si>
  <si>
    <t xml:space="preserve">V-101B </t>
  </si>
  <si>
    <t>10104</t>
  </si>
  <si>
    <t>P-101A/B</t>
  </si>
  <si>
    <t>V-101A</t>
  </si>
  <si>
    <t>10115</t>
  </si>
  <si>
    <t>10117</t>
  </si>
  <si>
    <t>10137</t>
  </si>
  <si>
    <t xml:space="preserve">NH3 </t>
  </si>
  <si>
    <t>10116</t>
  </si>
  <si>
    <t>V-101B</t>
  </si>
  <si>
    <t>10118</t>
  </si>
  <si>
    <t>10107</t>
  </si>
  <si>
    <t>H-101</t>
  </si>
  <si>
    <t>10121</t>
  </si>
  <si>
    <t>10122</t>
  </si>
  <si>
    <t>10120</t>
  </si>
  <si>
    <t>10119</t>
  </si>
  <si>
    <t xml:space="preserve">PSV Outlet </t>
  </si>
  <si>
    <t xml:space="preserve">SER </t>
  </si>
  <si>
    <t xml:space="preserve">Tie Point </t>
  </si>
  <si>
    <t>T-101</t>
  </si>
  <si>
    <t xml:space="preserve">HW </t>
  </si>
  <si>
    <t>P-102B</t>
  </si>
  <si>
    <t>P-102A</t>
  </si>
  <si>
    <t>1-1/2"</t>
  </si>
  <si>
    <t>10105</t>
  </si>
  <si>
    <t>10106</t>
  </si>
  <si>
    <t>10111</t>
  </si>
  <si>
    <t>10136</t>
  </si>
  <si>
    <t xml:space="preserve">TO PLANT </t>
  </si>
  <si>
    <t>10110</t>
  </si>
  <si>
    <t>N2</t>
  </si>
  <si>
    <t>10125</t>
  </si>
  <si>
    <t xml:space="preserve">GC Analyzer </t>
  </si>
  <si>
    <t>10124</t>
  </si>
  <si>
    <t>10126</t>
  </si>
  <si>
    <t>10108</t>
  </si>
  <si>
    <t xml:space="preserve">HEADER </t>
  </si>
  <si>
    <t>C-103</t>
  </si>
  <si>
    <t>HEADER</t>
  </si>
  <si>
    <t>WCES26-007-PR-PID-002</t>
  </si>
  <si>
    <t>SER</t>
  </si>
  <si>
    <t>T-102</t>
  </si>
  <si>
    <t>P-103A</t>
  </si>
  <si>
    <t>P-103B</t>
  </si>
  <si>
    <t>KV</t>
  </si>
  <si>
    <t>SV</t>
  </si>
  <si>
    <t>Waaree Clean Energy Solutions Pvt Ltd</t>
  </si>
  <si>
    <t xml:space="preserve">Issued for Review </t>
  </si>
  <si>
    <t/>
  </si>
  <si>
    <t xml:space="preserve">EQUIPMENT LIST </t>
  </si>
  <si>
    <t>PAGE  1 OF 3</t>
  </si>
  <si>
    <t>IFR – Issue for Review</t>
  </si>
  <si>
    <t>REV.</t>
  </si>
  <si>
    <t>DATE</t>
  </si>
  <si>
    <t>PURPOSE</t>
  </si>
  <si>
    <t>PREPARED BY</t>
  </si>
  <si>
    <t>CHECKED BY</t>
  </si>
  <si>
    <t>APPROVED BY</t>
  </si>
  <si>
    <t xml:space="preserve">LINE LIST </t>
  </si>
  <si>
    <t>REV. 0</t>
  </si>
  <si>
    <t>WCES26-007-PR-SP-005-0</t>
  </si>
  <si>
    <t>Sheet No: 01 of 03</t>
  </si>
  <si>
    <t>SS0A</t>
  </si>
  <si>
    <t>SS0</t>
  </si>
  <si>
    <t>EHG</t>
  </si>
  <si>
    <t>10109</t>
  </si>
  <si>
    <t>FRP</t>
  </si>
  <si>
    <t xml:space="preserve">VENT TO SAFE LOCATION </t>
  </si>
  <si>
    <t>4"</t>
  </si>
  <si>
    <t>1/2"</t>
  </si>
  <si>
    <t>6"</t>
  </si>
  <si>
    <t>1"</t>
  </si>
  <si>
    <t>2"</t>
  </si>
  <si>
    <t>3"</t>
  </si>
  <si>
    <t>001</t>
  </si>
  <si>
    <t>002</t>
  </si>
  <si>
    <t>Drawing 
Number</t>
  </si>
  <si>
    <t>10138</t>
  </si>
  <si>
    <t>10007</t>
  </si>
  <si>
    <t>10003</t>
  </si>
  <si>
    <t>10004</t>
  </si>
  <si>
    <t>10001</t>
  </si>
  <si>
    <t>10006</t>
  </si>
  <si>
    <t>10002</t>
  </si>
  <si>
    <t>10112</t>
  </si>
  <si>
    <t>Tanker</t>
  </si>
  <si>
    <t>8-14</t>
  </si>
  <si>
    <t>300#</t>
  </si>
  <si>
    <t>10S</t>
  </si>
  <si>
    <t>40S</t>
  </si>
  <si>
    <t>150#</t>
  </si>
  <si>
    <t>1AA</t>
  </si>
  <si>
    <t>XS</t>
  </si>
  <si>
    <t>1AK</t>
  </si>
  <si>
    <t>XX</t>
  </si>
  <si>
    <t>Rating</t>
  </si>
  <si>
    <t>Pipe Spec</t>
  </si>
  <si>
    <t>Pipe Thickness</t>
  </si>
  <si>
    <t>3"-NH3-001-10101-SS0-3001BK10S-N-0.0</t>
  </si>
  <si>
    <t>3"-NH3-001-10102-SS0-3001BK10S-N-0.0</t>
  </si>
  <si>
    <t>2"-NH3-001-10103-SS0-3001BK40S-N-0.0</t>
  </si>
  <si>
    <t>2"-NH3-001-10104-SS0-3001BK40S-N-0.0</t>
  </si>
  <si>
    <t>2"-NH3-001-10115-SS0-3001BK40S-N-0.0</t>
  </si>
  <si>
    <t>2"-NH3-001-10117-SS0-3001BK40S-N-0.0</t>
  </si>
  <si>
    <t>2"-NH3-001-10137-SS0-3001BK40S-N-0.0</t>
  </si>
  <si>
    <t>2"-NH3-001-10138-SS0-3001BK40S-N-0.0</t>
  </si>
  <si>
    <t>2"-NH3 -001-10116-SS0-3001BK40S-N-0.0</t>
  </si>
  <si>
    <t>2"-NH3 -001-10118-SS0-3001BK40S-N-0.0</t>
  </si>
  <si>
    <t>2"-NH3 -001-10119-SS0-3001BK40S-N-0.0</t>
  </si>
  <si>
    <t>2"-NH3 -001-10120-SS0-3001BK40S-N-0.0</t>
  </si>
  <si>
    <t>2"-NH3 -001-10121-SS0-3001BK40S-N-0.0</t>
  </si>
  <si>
    <t>2"-NH3 -001-10122-SS0-3001BK40S-N-0.0</t>
  </si>
  <si>
    <t>2"-SER -001-10007-CS-1501AAXS-N-0.0</t>
  </si>
  <si>
    <t>2"-HW -001-10007-CS-1501AAXS-H-1-1/2"</t>
  </si>
  <si>
    <t>2"-HW -001-10003-CS-1501AAXS-H-1-1/2"</t>
  </si>
  <si>
    <t>1-1/2"-HW -001-10004-CS-1501AAXS-H-1-1/2"</t>
  </si>
  <si>
    <t>1-1/2"-HW -001-10001-CS-1501AAXS-H-1-1/2"</t>
  </si>
  <si>
    <t>1-1/2"-HW -001-10006-CS-1501AAXS-H-1-1/2"</t>
  </si>
  <si>
    <t>1-1/2"-HW -001-10002-CS-1501AAXS-H-1-1/2"</t>
  </si>
  <si>
    <t>2"-NH3-001-10108-SS0-3001BK40S-N-0.0</t>
  </si>
  <si>
    <t>2"-NH3-001-10106-SS0-3001BK40S-N-0.0</t>
  </si>
  <si>
    <t>2"-NH3-001-10111-SS0-3001BK40S-N-0.0</t>
  </si>
  <si>
    <t>2"-NH3-001-10136-SS0-3001BK40S-N-0.0</t>
  </si>
  <si>
    <t>2"-NH3-001-10110-SS0-3001BK40S-N-0.0</t>
  </si>
  <si>
    <t>2"-N2-001-10106-SS0A-1501AK40S-N-0.0</t>
  </si>
  <si>
    <t>1"-NH3-001-10125-SS0-3001BK40S-N-0.0</t>
  </si>
  <si>
    <t>2"-NH3-001-10112-SS0-3001BK40S-N-0.0</t>
  </si>
  <si>
    <t>1"-NH3-001-10124-SS0-3001BK40S-N-0.0</t>
  </si>
  <si>
    <t>1"-NH3-001-10126-SS0-3001BK40S-N-0.0</t>
  </si>
  <si>
    <t>2"-NH3-001-10105-SS0-3001BK40S-N-0.0</t>
  </si>
  <si>
    <t>4"-NH3-001-10108-SS0-3001BK10S-N-0.0</t>
  </si>
  <si>
    <t>1/2"-N2-001-10105-SS0A-1501AK80S-N-0.0</t>
  </si>
  <si>
    <t>2"-N2-001-10104-SS0A-1501AK40S-N-0.0</t>
  </si>
  <si>
    <t>2"-NH3-001-10109-SS0-3001BK40S-N-0.0</t>
  </si>
  <si>
    <t>2"-NH3-001-10107-SS0-3001BK40S-N-0.0</t>
  </si>
  <si>
    <t>2"-N2-001-10110-SS0A-1501AK40S-N-0.0</t>
  </si>
  <si>
    <t>1/2"-N2-001-10103-SS0A-1501AK80S-N-0.0</t>
  </si>
  <si>
    <t>1"-N2-001-10102-SS0A-1501AK40S-N-0.0</t>
  </si>
  <si>
    <t>1"-NH3-001-10102-SS0-3001BK40S-N-0.0</t>
  </si>
  <si>
    <t>1"-NH3-001-10103-SS0-3001BK40S-N-0.0</t>
  </si>
  <si>
    <t>4"-SER-002-10101-CS-1501AASTD-N-0.0</t>
  </si>
  <si>
    <t>6"-SER-002-10102-CS-1501AASTD-N-0.0</t>
  </si>
  <si>
    <t>4"-SER-002-10103-CS-1501AASTD-N-0.0</t>
  </si>
  <si>
    <t>4"-SER-002-10104-CS-1501AASTD-N-0.0</t>
  </si>
  <si>
    <t>4"-SER-002-10105-CS-1501AASTD-N-0.0</t>
  </si>
  <si>
    <t>6"-SER-002-10106-CS-1501AASTD-N-0.0</t>
  </si>
  <si>
    <t>4"-SER-002-10107-CS-1501AASTD-N-0.0</t>
  </si>
  <si>
    <t>4"-EHG-002-10109-FRP-150FRPXX-N-0.0</t>
  </si>
  <si>
    <t>3001BK10S</t>
  </si>
  <si>
    <t>3001BK40S</t>
  </si>
  <si>
    <t>1501AAXS</t>
  </si>
  <si>
    <t>1501AK40S</t>
  </si>
  <si>
    <t>1501AK80S</t>
  </si>
  <si>
    <t>1501AASTD</t>
  </si>
  <si>
    <t>150FRPXX</t>
  </si>
  <si>
    <t>1AN</t>
  </si>
  <si>
    <t>3''-NH3-001-10101-SS0-30010S1AN-N-0.0</t>
  </si>
  <si>
    <t>10130</t>
  </si>
  <si>
    <t>10128</t>
  </si>
  <si>
    <t>10129</t>
  </si>
  <si>
    <t>SS</t>
  </si>
  <si>
    <t>CLIENT PROJECT NO.: Ank/Plan-C/443
VCARE PROJECT NO.: VCE-EDS-0685</t>
  </si>
  <si>
    <t>CLIENT: ELANTAS Beck India Limited.</t>
  </si>
  <si>
    <t>PROJECT: Plan - C- Detail Engineering, Ankleshwar</t>
  </si>
  <si>
    <t xml:space="preserve">DOC. 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</si>
</sst>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
  </numFmts>
  <fonts count="47">
    <font>
      <sz val="11"/>
      <color theme="1"/>
      <name val="Calibri"/>
      <family val="2"/>
      <scheme val="minor"/>
    </font>
    <font>
      <sz val="10"/>
      <color theme="1"/>
      <name val="Calibri"/>
      <family val="2"/>
      <scheme val="minor"/>
    </font>
    <font>
      <sz val="10"/>
      <color theme="1"/>
      <name val="Arial"/>
      <family val="2"/>
    </font>
    <font>
      <sz val="8"/>
      <name val="Calibri"/>
      <family val="2"/>
      <scheme val="minor"/>
    </font>
    <font>
      <b/>
      <sz val="9"/>
      <color theme="1"/>
      <name val="Arial"/>
      <family val="2"/>
    </font>
    <font>
      <sz val="9"/>
      <color theme="1"/>
      <name val="Arial"/>
      <family val="2"/>
    </font>
    <font>
      <sz val="8"/>
      <color theme="1"/>
      <name val="Arial"/>
      <family val="2"/>
    </font>
    <font>
      <b/>
      <sz val="12"/>
      <color theme="1"/>
      <name val="Arial"/>
      <family val="2"/>
    </font>
    <font>
      <sz val="9"/>
      <color theme="1"/>
      <name val="Calibri"/>
      <family val="2"/>
      <scheme val="minor"/>
    </font>
    <font>
      <sz val="10"/>
      <name val="Arial"/>
      <family val="2"/>
    </font>
    <font>
      <sz val="10"/>
      <name val="Times New Roman"/>
      <family val="1"/>
    </font>
    <font>
      <b/>
      <sz val="10"/>
      <name val="Arial"/>
      <family val="2"/>
    </font>
    <font>
      <sz val="9"/>
      <name val="Arial"/>
      <family val="2"/>
    </font>
    <font>
      <sz val="11"/>
      <color indexed="9"/>
      <name val="Arial"/>
      <family val="2"/>
    </font>
    <font>
      <sz val="11"/>
      <name val="Arial"/>
      <family val="2"/>
    </font>
    <font>
      <sz val="22"/>
      <color indexed="12"/>
      <name val="Arial"/>
      <family val="2"/>
    </font>
    <font>
      <sz val="26"/>
      <color indexed="12"/>
      <name val="Arial"/>
      <family val="2"/>
    </font>
    <font>
      <sz val="22"/>
      <name val="Arial"/>
      <family val="2"/>
    </font>
    <font>
      <sz val="26"/>
      <name val="Arial"/>
      <family val="2"/>
    </font>
    <font>
      <b/>
      <sz val="12"/>
      <name val="Arial"/>
      <family val="2"/>
    </font>
    <font>
      <sz val="12"/>
      <name val="Arial"/>
      <family val="2"/>
    </font>
    <font>
      <vertAlign val="subscript"/>
      <sz val="9"/>
      <color theme="1"/>
      <name val="Arial"/>
      <family val="2"/>
    </font>
    <font>
      <sz val="8"/>
      <color theme="1"/>
      <name val="Arial"/>
      <family val="2"/>
    </font>
    <font>
      <sz val="9"/>
      <color theme="1"/>
      <name val="Arial"/>
      <family val="2"/>
    </font>
    <font>
      <sz val="16"/>
      <color theme="1"/>
      <name val="Arial"/>
      <family val="2"/>
    </font>
    <font>
      <b/>
      <sz val="8"/>
      <color theme="1"/>
      <name val="Arial"/>
      <family val="2"/>
    </font>
    <font>
      <b/>
      <sz val="7"/>
      <color theme="1"/>
      <name val="Arial"/>
      <family val="2"/>
    </font>
    <font>
      <sz val="7"/>
      <color theme="1"/>
      <name val="Arial"/>
      <family val="2"/>
    </font>
    <font>
      <sz val="8"/>
      <name val="Arial"/>
      <family val="2"/>
    </font>
    <font>
      <b/>
      <sz val="11"/>
      <color theme="1"/>
      <name val="Calibri"/>
      <family val="2"/>
      <scheme val="minor"/>
    </font>
    <font>
      <b/>
      <sz val="10"/>
      <color theme="1"/>
      <name val="Calibri"/>
      <family val="2"/>
      <scheme val="minor"/>
    </font>
    <font>
      <sz val="11"/>
      <color theme="1"/>
      <name val="Arial"/>
      <family val="2"/>
    </font>
    <font>
      <sz val="12"/>
      <color theme="1"/>
      <name val="Arial"/>
      <family val="2"/>
    </font>
    <font>
      <strike/>
      <sz val="8"/>
      <color theme="0"/>
      <name val="Arial"/>
      <family val="2"/>
    </font>
    <font>
      <strike/>
      <sz val="11"/>
      <color theme="1"/>
      <name val="Calibri"/>
      <family val="2"/>
      <scheme val="minor"/>
    </font>
    <font>
      <sz val="11"/>
      <name val="Calibri"/>
      <family val="2"/>
      <scheme val="minor"/>
    </font>
    <font>
      <sz val="11"/>
      <color rgb="FF000000"/>
      <name val="Calibri"/>
      <family val="2"/>
      <charset val="1"/>
    </font>
    <font>
      <sz val="10"/>
      <color theme="1"/>
      <name val="Callibri"/>
    </font>
    <font>
      <sz val="14"/>
      <color theme="1"/>
      <name val="Calibri"/>
      <family val="2"/>
      <scheme val="minor"/>
    </font>
    <font>
      <sz val="11"/>
      <color rgb="FF000000"/>
      <name val="Calibri"/>
      <family val="2"/>
      <charset val="204"/>
    </font>
    <font>
      <sz val="11"/>
      <color rgb="FF000000"/>
      <name val="Calibri"/>
      <family val="2"/>
      <scheme val="minor"/>
    </font>
    <font>
      <b/>
      <sz val="8"/>
      <name val="Calibri"/>
      <family val="2"/>
      <scheme val="minor"/>
    </font>
    <font>
      <b/>
      <sz val="10"/>
      <color theme="1"/>
      <name val="Arial"/>
      <family val="2"/>
    </font>
    <font>
      <b/>
      <sz val="9"/>
      <color theme="1"/>
      <name val="Calibri"/>
      <family val="2"/>
      <scheme val="minor"/>
    </font>
    <font>
      <b/>
      <sz val="15"/>
      <color rgb="FF000000"/>
      <name val="Calibri"/>
      <family val="2"/>
      <scheme val="minor"/>
    </font>
    <font>
      <b/>
      <sz val="11"/>
      <color rgb="FF000000"/>
      <name val="Calibri"/>
      <family val="2"/>
      <scheme val="minor"/>
    </font>
    <font>
      <b/>
      <sz val="15"/>
      <color rgb="FF000000"/>
      <name val="Calibri"/>
      <family val="2"/>
    </font>
  </fonts>
  <fills count="9">
    <fill>
      <patternFill patternType="none"/>
    </fill>
    <fill>
      <patternFill patternType="gray125"/>
    </fill>
    <fill>
      <patternFill patternType="solid">
        <fgColor theme="7"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indexed="9"/>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s>
  <borders count="8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hair">
        <color indexed="64"/>
      </left>
      <right style="hair">
        <color indexed="64"/>
      </right>
      <top style="hair">
        <color indexed="64"/>
      </top>
      <bottom style="hair">
        <color indexed="64"/>
      </bottom>
      <diagonal/>
    </border>
    <border>
      <left style="thin">
        <color rgb="FF000000"/>
      </left>
      <right/>
      <top/>
      <bottom style="thin">
        <color rgb="FF000000"/>
      </bottom>
      <diagonal/>
    </border>
    <border>
      <left/>
      <right/>
      <top/>
      <bottom style="thin">
        <color rgb="FF000000"/>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thin">
        <color rgb="FF000000"/>
      </left>
      <right/>
      <top style="thin">
        <color indexed="64"/>
      </top>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hair">
        <color indexed="64"/>
      </left>
      <right style="medium">
        <color indexed="64"/>
      </right>
      <top/>
      <bottom style="hair">
        <color indexed="64"/>
      </bottom>
      <diagonal/>
    </border>
    <border>
      <left style="thin">
        <color rgb="FF000000"/>
      </left>
      <right/>
      <top style="thin">
        <color rgb="FF000000"/>
      </top>
      <bottom style="thin">
        <color rgb="FF000000"/>
      </bottom>
      <diagonal/>
    </border>
    <border>
      <left style="medium">
        <color indexed="64"/>
      </left>
      <right style="thin">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medium">
        <color indexed="64"/>
      </left>
      <right/>
      <top style="hair">
        <color indexed="64"/>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hair">
        <color indexed="64"/>
      </left>
      <right style="hair">
        <color indexed="64"/>
      </right>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0" fontId="9" fillId="0" borderId="0"/>
    <xf numFmtId="0" fontId="10" fillId="0" borderId="0"/>
    <xf numFmtId="0" fontId="9" fillId="0" borderId="0"/>
    <xf numFmtId="0" fontId="9" fillId="0" borderId="0"/>
    <xf numFmtId="0" fontId="9" fillId="0" borderId="0"/>
    <xf numFmtId="0" fontId="39" fillId="0" borderId="0"/>
  </cellStyleXfs>
  <cellXfs count="687">
    <xf numFmtId="0" fontId="0" fillId="0" borderId="0" xfId="0"/>
    <xf numFmtId="0" fontId="1" fillId="4" borderId="7" xfId="0" applyFont="1" applyFill="1" applyBorder="1"/>
    <xf numFmtId="0" fontId="1" fillId="4" borderId="0" xfId="0" applyFont="1" applyFill="1"/>
    <xf numFmtId="0" fontId="1" fillId="4" borderId="22" xfId="0" applyFont="1" applyFill="1" applyBorder="1"/>
    <xf numFmtId="0" fontId="1" fillId="4" borderId="20" xfId="0" applyFont="1" applyFill="1" applyBorder="1"/>
    <xf numFmtId="0" fontId="1" fillId="4" borderId="4" xfId="0" applyFont="1" applyFill="1" applyBorder="1"/>
    <xf numFmtId="0" fontId="1" fillId="4" borderId="5" xfId="0" applyFont="1" applyFill="1" applyBorder="1"/>
    <xf numFmtId="0" fontId="2" fillId="4" borderId="0" xfId="0" applyFont="1" applyFill="1"/>
    <xf numFmtId="0" fontId="3" fillId="4" borderId="5" xfId="0" applyFont="1" applyFill="1" applyBorder="1" applyAlignment="1">
      <alignment horizontal="left"/>
    </xf>
    <xf numFmtId="0" fontId="0" fillId="4" borderId="7" xfId="0" applyFill="1" applyBorder="1"/>
    <xf numFmtId="0" fontId="0" fillId="4" borderId="8" xfId="0" applyFill="1" applyBorder="1"/>
    <xf numFmtId="0" fontId="0" fillId="4" borderId="9" xfId="0" applyFill="1" applyBorder="1"/>
    <xf numFmtId="0" fontId="0" fillId="4" borderId="0" xfId="0" applyFill="1"/>
    <xf numFmtId="0" fontId="0" fillId="4" borderId="10" xfId="0" applyFill="1" applyBorder="1"/>
    <xf numFmtId="0" fontId="0" fillId="4" borderId="26" xfId="0" applyFill="1" applyBorder="1"/>
    <xf numFmtId="0" fontId="0" fillId="4" borderId="25" xfId="0" applyFill="1" applyBorder="1"/>
    <xf numFmtId="0" fontId="0" fillId="4" borderId="5" xfId="0" applyFill="1" applyBorder="1"/>
    <xf numFmtId="0" fontId="9" fillId="0" borderId="0" xfId="1"/>
    <xf numFmtId="0" fontId="9" fillId="0" borderId="0" xfId="1" applyAlignment="1">
      <alignment wrapText="1"/>
    </xf>
    <xf numFmtId="0" fontId="9" fillId="0" borderId="0" xfId="1" applyAlignment="1">
      <alignment horizontal="left"/>
    </xf>
    <xf numFmtId="0" fontId="11" fillId="0" borderId="36" xfId="3" applyFont="1" applyBorder="1" applyAlignment="1">
      <alignment horizontal="center" wrapText="1"/>
    </xf>
    <xf numFmtId="0" fontId="11" fillId="0" borderId="38" xfId="3" applyFont="1" applyBorder="1" applyAlignment="1">
      <alignment horizontal="center" wrapText="1"/>
    </xf>
    <xf numFmtId="14" fontId="9" fillId="5" borderId="30" xfId="2" applyNumberFormat="1" applyFont="1" applyFill="1" applyBorder="1" applyAlignment="1">
      <alignment horizontal="centerContinuous" vertical="center"/>
    </xf>
    <xf numFmtId="0" fontId="9" fillId="5" borderId="39" xfId="2" applyFont="1" applyFill="1" applyBorder="1" applyAlignment="1">
      <alignment horizontal="center" vertical="center"/>
    </xf>
    <xf numFmtId="0" fontId="9" fillId="0" borderId="30" xfId="3" applyBorder="1" applyAlignment="1">
      <alignment horizontal="left" wrapText="1" indent="1"/>
    </xf>
    <xf numFmtId="0" fontId="9" fillId="0" borderId="40" xfId="3" applyBorder="1" applyAlignment="1">
      <alignment horizontal="left" wrapText="1" indent="1"/>
    </xf>
    <xf numFmtId="0" fontId="9" fillId="0" borderId="42" xfId="3" applyBorder="1" applyAlignment="1">
      <alignment horizontal="left" wrapText="1" indent="1"/>
    </xf>
    <xf numFmtId="0" fontId="9" fillId="0" borderId="43" xfId="3" applyBorder="1" applyAlignment="1">
      <alignment horizontal="left" wrapText="1" indent="1"/>
    </xf>
    <xf numFmtId="0" fontId="9" fillId="0" borderId="0" xfId="3" applyAlignment="1">
      <alignment horizontal="left" wrapText="1" indent="1"/>
    </xf>
    <xf numFmtId="0" fontId="9" fillId="0" borderId="0" xfId="1" applyAlignment="1">
      <alignment horizontal="center" vertical="center"/>
    </xf>
    <xf numFmtId="0" fontId="13" fillId="0" borderId="0" xfId="3" applyFont="1" applyAlignment="1">
      <alignment horizontal="right" wrapText="1"/>
    </xf>
    <xf numFmtId="0" fontId="9" fillId="0" borderId="0" xfId="3"/>
    <xf numFmtId="0" fontId="9" fillId="0" borderId="0" xfId="1" applyAlignment="1">
      <alignment horizontal="left" vertical="center"/>
    </xf>
    <xf numFmtId="0" fontId="15" fillId="5" borderId="0" xfId="3" applyFont="1" applyFill="1" applyAlignment="1">
      <alignment horizontal="left" vertical="center" wrapText="1"/>
    </xf>
    <xf numFmtId="0" fontId="17" fillId="0" borderId="0" xfId="3" applyFont="1" applyAlignment="1">
      <alignment horizontal="left" vertical="center" wrapText="1"/>
    </xf>
    <xf numFmtId="0" fontId="18" fillId="0" borderId="0" xfId="3" applyFont="1" applyAlignment="1">
      <alignment horizontal="left" vertical="center" wrapText="1"/>
    </xf>
    <xf numFmtId="0" fontId="14" fillId="0" borderId="0" xfId="2" applyFont="1" applyAlignment="1">
      <alignment horizontal="left" vertical="center"/>
    </xf>
    <xf numFmtId="0" fontId="9" fillId="5" borderId="17" xfId="2" applyFont="1" applyFill="1" applyBorder="1" applyAlignment="1">
      <alignment horizontal="left" vertical="center" wrapText="1"/>
    </xf>
    <xf numFmtId="0" fontId="9" fillId="5" borderId="17" xfId="2" applyFont="1" applyFill="1" applyBorder="1" applyAlignment="1">
      <alignment horizontal="center" vertical="center" wrapText="1"/>
    </xf>
    <xf numFmtId="0" fontId="9" fillId="0" borderId="41" xfId="3" applyBorder="1" applyAlignment="1">
      <alignment horizontal="center" wrapText="1"/>
    </xf>
    <xf numFmtId="0" fontId="9" fillId="0" borderId="17" xfId="3" applyBorder="1" applyAlignment="1">
      <alignment horizontal="center" wrapText="1"/>
    </xf>
    <xf numFmtId="0" fontId="9" fillId="0" borderId="20" xfId="1" applyBorder="1"/>
    <xf numFmtId="0" fontId="9" fillId="0" borderId="21" xfId="1" applyBorder="1"/>
    <xf numFmtId="0" fontId="18" fillId="0" borderId="20" xfId="3" applyFont="1" applyBorder="1" applyAlignment="1">
      <alignment horizontal="left" vertical="center" wrapText="1"/>
    </xf>
    <xf numFmtId="0" fontId="16" fillId="5" borderId="21" xfId="3" applyFont="1" applyFill="1" applyBorder="1" applyAlignment="1">
      <alignment horizontal="left" vertical="center" wrapText="1"/>
    </xf>
    <xf numFmtId="0" fontId="17" fillId="0" borderId="20" xfId="3" applyFont="1" applyBorder="1" applyAlignment="1">
      <alignment horizontal="left" vertical="center" wrapText="1"/>
    </xf>
    <xf numFmtId="0" fontId="16" fillId="5" borderId="0" xfId="3" applyFont="1" applyFill="1" applyAlignment="1">
      <alignment horizontal="left"/>
    </xf>
    <xf numFmtId="0" fontId="15" fillId="5" borderId="21" xfId="3" applyFont="1" applyFill="1" applyBorder="1" applyAlignment="1">
      <alignment horizontal="left" vertical="center" wrapText="1"/>
    </xf>
    <xf numFmtId="0" fontId="9" fillId="0" borderId="21" xfId="1" applyBorder="1" applyAlignment="1">
      <alignment horizontal="center" vertical="center"/>
    </xf>
    <xf numFmtId="0" fontId="9" fillId="0" borderId="21" xfId="1" applyBorder="1" applyAlignment="1">
      <alignment horizontal="left" vertical="center"/>
    </xf>
    <xf numFmtId="0" fontId="13" fillId="0" borderId="20" xfId="3" applyFont="1" applyBorder="1" applyAlignment="1">
      <alignment horizontal="right" wrapText="1"/>
    </xf>
    <xf numFmtId="0" fontId="9" fillId="0" borderId="21" xfId="3" applyBorder="1" applyAlignment="1">
      <alignment horizontal="left" wrapText="1" indent="1"/>
    </xf>
    <xf numFmtId="0" fontId="9" fillId="0" borderId="20" xfId="3" applyBorder="1" applyAlignment="1">
      <alignment horizontal="left" wrapText="1" indent="1"/>
    </xf>
    <xf numFmtId="0" fontId="9" fillId="0" borderId="44" xfId="3" applyBorder="1" applyAlignment="1">
      <alignment horizontal="center" wrapText="1"/>
    </xf>
    <xf numFmtId="0" fontId="9" fillId="5" borderId="34" xfId="2" applyFont="1" applyFill="1" applyBorder="1" applyAlignment="1">
      <alignment horizontal="center" vertical="center"/>
    </xf>
    <xf numFmtId="0" fontId="11" fillId="5" borderId="37" xfId="2" applyFont="1" applyFill="1" applyBorder="1" applyAlignment="1">
      <alignment horizontal="center" vertical="center"/>
    </xf>
    <xf numFmtId="0" fontId="5" fillId="4" borderId="6" xfId="0" applyFont="1" applyFill="1" applyBorder="1"/>
    <xf numFmtId="0" fontId="5" fillId="4" borderId="7" xfId="0" applyFont="1" applyFill="1" applyBorder="1"/>
    <xf numFmtId="0" fontId="5" fillId="4" borderId="8" xfId="0" applyFont="1" applyFill="1" applyBorder="1"/>
    <xf numFmtId="0" fontId="5" fillId="4" borderId="9" xfId="0" applyFont="1" applyFill="1" applyBorder="1"/>
    <xf numFmtId="0" fontId="5" fillId="4" borderId="0" xfId="0" applyFont="1" applyFill="1"/>
    <xf numFmtId="0" fontId="5" fillId="4" borderId="0" xfId="0" applyFont="1" applyFill="1" applyAlignment="1">
      <alignment horizontal="center" vertical="center"/>
    </xf>
    <xf numFmtId="0" fontId="5" fillId="4" borderId="10" xfId="0" applyFont="1" applyFill="1" applyBorder="1"/>
    <xf numFmtId="0" fontId="5" fillId="4" borderId="11" xfId="0" applyFont="1" applyFill="1" applyBorder="1"/>
    <xf numFmtId="0" fontId="5" fillId="4" borderId="12" xfId="0" applyFont="1" applyFill="1" applyBorder="1"/>
    <xf numFmtId="0" fontId="5" fillId="4" borderId="12" xfId="0" applyFont="1" applyFill="1" applyBorder="1" applyAlignment="1">
      <alignment horizontal="center" vertical="center"/>
    </xf>
    <xf numFmtId="0" fontId="5" fillId="4" borderId="13" xfId="0" applyFont="1" applyFill="1" applyBorder="1"/>
    <xf numFmtId="0" fontId="0" fillId="4" borderId="11" xfId="0" applyFill="1" applyBorder="1"/>
    <xf numFmtId="0" fontId="0" fillId="4" borderId="12" xfId="0" applyFill="1" applyBorder="1"/>
    <xf numFmtId="0" fontId="0" fillId="4" borderId="13" xfId="0" applyFill="1" applyBorder="1"/>
    <xf numFmtId="0" fontId="11" fillId="0" borderId="27" xfId="3" applyFont="1" applyBorder="1" applyAlignment="1">
      <alignment horizontal="center" wrapText="1"/>
    </xf>
    <xf numFmtId="0" fontId="9" fillId="0" borderId="42" xfId="3" applyBorder="1" applyAlignment="1">
      <alignment horizontal="center" wrapText="1"/>
    </xf>
    <xf numFmtId="0" fontId="14" fillId="0" borderId="0" xfId="1" applyFont="1" applyAlignment="1">
      <alignment horizontal="left" vertical="center"/>
    </xf>
    <xf numFmtId="0" fontId="14" fillId="0" borderId="21" xfId="1" applyFont="1" applyBorder="1" applyAlignment="1">
      <alignment horizontal="left" vertical="center"/>
    </xf>
    <xf numFmtId="0" fontId="23" fillId="0" borderId="0" xfId="0" applyFont="1"/>
    <xf numFmtId="0" fontId="22" fillId="0" borderId="0" xfId="0" applyFont="1"/>
    <xf numFmtId="0" fontId="0" fillId="0" borderId="0" xfId="0" applyAlignment="1">
      <alignment horizontal="center"/>
    </xf>
    <xf numFmtId="0" fontId="6" fillId="0" borderId="0" xfId="0" applyFont="1" applyAlignment="1">
      <alignment horizontal="center"/>
    </xf>
    <xf numFmtId="0" fontId="5" fillId="0" borderId="0" xfId="0" applyFont="1" applyAlignment="1">
      <alignment horizontal="center"/>
    </xf>
    <xf numFmtId="0" fontId="27" fillId="4" borderId="0" xfId="0" applyFont="1" applyFill="1"/>
    <xf numFmtId="14" fontId="9" fillId="0" borderId="30" xfId="2" applyNumberFormat="1" applyFont="1" applyBorder="1" applyAlignment="1">
      <alignment horizontal="centerContinuous" vertical="center"/>
    </xf>
    <xf numFmtId="14" fontId="9" fillId="0" borderId="0" xfId="1" applyNumberFormat="1" applyAlignment="1">
      <alignment horizontal="left" vertical="center"/>
    </xf>
    <xf numFmtId="0" fontId="30" fillId="4" borderId="0" xfId="0" applyFont="1" applyFill="1"/>
    <xf numFmtId="0" fontId="14" fillId="0" borderId="0" xfId="1" applyFont="1" applyAlignment="1">
      <alignment horizontal="left"/>
    </xf>
    <xf numFmtId="0" fontId="31" fillId="0" borderId="0" xfId="0" applyFont="1" applyAlignment="1">
      <alignment horizontal="left" vertical="center"/>
    </xf>
    <xf numFmtId="0" fontId="14" fillId="6" borderId="0" xfId="3" applyFont="1" applyFill="1" applyAlignment="1">
      <alignment horizontal="right" vertical="center" wrapText="1"/>
    </xf>
    <xf numFmtId="0" fontId="5" fillId="0" borderId="0" xfId="0" applyFont="1"/>
    <xf numFmtId="0" fontId="6" fillId="0" borderId="0" xfId="0" applyFont="1"/>
    <xf numFmtId="0" fontId="6" fillId="4" borderId="0" xfId="0" applyFont="1" applyFill="1"/>
    <xf numFmtId="0" fontId="0" fillId="0" borderId="52" xfId="0" applyBorder="1"/>
    <xf numFmtId="0" fontId="0" fillId="0" borderId="53" xfId="0" applyBorder="1"/>
    <xf numFmtId="0" fontId="0" fillId="0" borderId="33" xfId="0" applyBorder="1"/>
    <xf numFmtId="0" fontId="0" fillId="0" borderId="31" xfId="0" applyBorder="1"/>
    <xf numFmtId="0" fontId="0" fillId="0" borderId="32" xfId="0" applyBorder="1"/>
    <xf numFmtId="0" fontId="2" fillId="4" borderId="9" xfId="0" applyFont="1" applyFill="1" applyBorder="1" applyAlignment="1">
      <alignment vertical="center"/>
    </xf>
    <xf numFmtId="0" fontId="2" fillId="4" borderId="6" xfId="0" applyFont="1" applyFill="1" applyBorder="1"/>
    <xf numFmtId="0" fontId="2" fillId="4" borderId="7" xfId="0" applyFont="1" applyFill="1" applyBorder="1"/>
    <xf numFmtId="0" fontId="2" fillId="4" borderId="8" xfId="0" applyFont="1" applyFill="1" applyBorder="1"/>
    <xf numFmtId="0" fontId="4" fillId="4" borderId="0" xfId="0" applyFont="1" applyFill="1" applyAlignment="1">
      <alignment horizontal="left"/>
    </xf>
    <xf numFmtId="0" fontId="6" fillId="4" borderId="0" xfId="0" applyFont="1" applyFill="1" applyAlignment="1">
      <alignment horizontal="left"/>
    </xf>
    <xf numFmtId="0" fontId="28" fillId="4" borderId="0" xfId="4" quotePrefix="1" applyFont="1" applyFill="1" applyAlignment="1">
      <alignment horizontal="left"/>
    </xf>
    <xf numFmtId="0" fontId="4" fillId="4" borderId="0" xfId="0" applyFont="1" applyFill="1"/>
    <xf numFmtId="0" fontId="0" fillId="4" borderId="6" xfId="0" applyFill="1" applyBorder="1"/>
    <xf numFmtId="0" fontId="0" fillId="4" borderId="0" xfId="0" applyFill="1" applyAlignment="1">
      <alignment horizontal="center"/>
    </xf>
    <xf numFmtId="0" fontId="2" fillId="4" borderId="0" xfId="0" applyFont="1" applyFill="1" applyAlignment="1">
      <alignment vertical="center"/>
    </xf>
    <xf numFmtId="0" fontId="3" fillId="4" borderId="5" xfId="0" applyFont="1" applyFill="1" applyBorder="1" applyAlignment="1">
      <alignment horizontal="center"/>
    </xf>
    <xf numFmtId="0" fontId="0" fillId="0" borderId="0" xfId="0" applyAlignment="1">
      <alignment horizontal="left"/>
    </xf>
    <xf numFmtId="0" fontId="5" fillId="0" borderId="0" xfId="0" applyFont="1" applyAlignment="1">
      <alignment horizontal="left"/>
    </xf>
    <xf numFmtId="0" fontId="23" fillId="0" borderId="0" xfId="0" applyFont="1" applyAlignment="1">
      <alignment horizontal="left"/>
    </xf>
    <xf numFmtId="0" fontId="6" fillId="0" borderId="0" xfId="0" applyFont="1" applyAlignment="1">
      <alignment horizontal="left"/>
    </xf>
    <xf numFmtId="0" fontId="22" fillId="0" borderId="0" xfId="0" applyFont="1" applyAlignment="1">
      <alignment horizontal="left"/>
    </xf>
    <xf numFmtId="0" fontId="33" fillId="0" borderId="0" xfId="0" applyFont="1"/>
    <xf numFmtId="0" fontId="6" fillId="0" borderId="61"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24" xfId="0" applyFont="1" applyBorder="1" applyAlignment="1">
      <alignment vertical="center"/>
    </xf>
    <xf numFmtId="0" fontId="6" fillId="0" borderId="0" xfId="0" applyFont="1" applyAlignment="1">
      <alignment vertical="center"/>
    </xf>
    <xf numFmtId="0" fontId="6" fillId="0" borderId="0" xfId="0" applyFont="1" applyAlignment="1">
      <alignment horizontal="left" vertical="center"/>
    </xf>
    <xf numFmtId="0" fontId="6" fillId="0" borderId="51" xfId="0" applyFont="1" applyBorder="1" applyAlignment="1">
      <alignment vertical="center"/>
    </xf>
    <xf numFmtId="0" fontId="6" fillId="0" borderId="22" xfId="0" applyFont="1" applyBorder="1"/>
    <xf numFmtId="0" fontId="6" fillId="0" borderId="7" xfId="0" applyFont="1" applyBorder="1"/>
    <xf numFmtId="0" fontId="26" fillId="0" borderId="6" xfId="0" applyFont="1" applyBorder="1" applyAlignment="1">
      <alignment vertical="center"/>
    </xf>
    <xf numFmtId="0" fontId="27" fillId="0" borderId="7" xfId="0" applyFont="1" applyBorder="1" applyAlignment="1">
      <alignment vertical="center"/>
    </xf>
    <xf numFmtId="0" fontId="6" fillId="0" borderId="7" xfId="0" applyFont="1" applyBorder="1" applyAlignment="1">
      <alignment vertical="center"/>
    </xf>
    <xf numFmtId="0" fontId="6" fillId="0" borderId="23" xfId="0" applyFont="1" applyBorder="1"/>
    <xf numFmtId="0" fontId="6" fillId="0" borderId="20" xfId="0" applyFont="1" applyBorder="1"/>
    <xf numFmtId="0" fontId="27" fillId="0" borderId="9" xfId="0" applyFont="1" applyBorder="1"/>
    <xf numFmtId="0" fontId="27" fillId="0" borderId="0" xfId="0" applyFont="1"/>
    <xf numFmtId="0" fontId="6" fillId="0" borderId="21" xfId="0" applyFont="1" applyBorder="1"/>
    <xf numFmtId="0" fontId="6" fillId="0" borderId="35" xfId="0" applyFont="1" applyBorder="1"/>
    <xf numFmtId="0" fontId="6" fillId="0" borderId="12" xfId="0" applyFont="1" applyBorder="1"/>
    <xf numFmtId="0" fontId="27" fillId="0" borderId="11" xfId="0" applyFont="1" applyBorder="1"/>
    <xf numFmtId="0" fontId="27" fillId="0" borderId="12" xfId="0" applyFont="1" applyBorder="1"/>
    <xf numFmtId="0" fontId="6" fillId="0" borderId="24" xfId="0" applyFont="1" applyBorder="1"/>
    <xf numFmtId="0" fontId="8" fillId="0" borderId="0" xfId="0" applyFont="1"/>
    <xf numFmtId="0" fontId="8" fillId="0" borderId="21" xfId="0" applyFont="1" applyBorder="1"/>
    <xf numFmtId="0" fontId="37" fillId="0" borderId="0" xfId="0" applyFont="1" applyAlignment="1">
      <alignment horizontal="left"/>
    </xf>
    <xf numFmtId="0" fontId="0" fillId="0" borderId="60" xfId="0" applyBorder="1" applyAlignment="1">
      <alignment vertical="center"/>
    </xf>
    <xf numFmtId="49" fontId="0" fillId="0" borderId="60" xfId="0" applyNumberFormat="1" applyBorder="1" applyAlignment="1">
      <alignment vertical="center"/>
    </xf>
    <xf numFmtId="49" fontId="0" fillId="0" borderId="60" xfId="0" applyNumberFormat="1" applyBorder="1" applyAlignment="1">
      <alignment horizontal="left" vertical="center"/>
    </xf>
    <xf numFmtId="0" fontId="0" fillId="0" borderId="0" xfId="0" applyAlignment="1">
      <alignment horizontal="center" vertical="center"/>
    </xf>
    <xf numFmtId="0" fontId="34" fillId="0" borderId="60" xfId="0" applyFont="1" applyBorder="1" applyAlignment="1">
      <alignment vertical="center"/>
    </xf>
    <xf numFmtId="49" fontId="34" fillId="0" borderId="60" xfId="0" applyNumberFormat="1" applyFont="1" applyBorder="1" applyAlignment="1">
      <alignment vertical="center"/>
    </xf>
    <xf numFmtId="49" fontId="34" fillId="0" borderId="60" xfId="0" applyNumberFormat="1" applyFont="1" applyBorder="1" applyAlignment="1">
      <alignment horizontal="left" vertical="center"/>
    </xf>
    <xf numFmtId="0" fontId="35" fillId="0" borderId="60" xfId="0" applyFont="1" applyBorder="1" applyAlignment="1">
      <alignment vertical="center"/>
    </xf>
    <xf numFmtId="49" fontId="35" fillId="0" borderId="60" xfId="0" applyNumberFormat="1" applyFont="1" applyBorder="1" applyAlignment="1">
      <alignment vertical="center"/>
    </xf>
    <xf numFmtId="49" fontId="35" fillId="0" borderId="60" xfId="0" applyNumberFormat="1" applyFont="1" applyBorder="1" applyAlignment="1">
      <alignment horizontal="left" vertical="center"/>
    </xf>
    <xf numFmtId="0" fontId="34" fillId="0" borderId="0" xfId="0" applyFont="1" applyAlignment="1">
      <alignment horizontal="center" vertical="center"/>
    </xf>
    <xf numFmtId="0" fontId="35" fillId="0" borderId="0" xfId="0" applyFont="1" applyAlignment="1">
      <alignment horizontal="center" vertical="center"/>
    </xf>
    <xf numFmtId="0" fontId="0" fillId="0" borderId="60" xfId="0" applyBorder="1" applyAlignment="1">
      <alignment horizontal="left" vertical="center"/>
    </xf>
    <xf numFmtId="0" fontId="6" fillId="0" borderId="7" xfId="0" applyFont="1" applyBorder="1" applyAlignment="1">
      <alignment horizontal="center" vertical="center"/>
    </xf>
    <xf numFmtId="0" fontId="6" fillId="0" borderId="51" xfId="0" applyFont="1" applyBorder="1" applyAlignment="1">
      <alignment horizontal="left" vertical="center"/>
    </xf>
    <xf numFmtId="0" fontId="8" fillId="7" borderId="0" xfId="0" applyFont="1" applyFill="1"/>
    <xf numFmtId="0" fontId="38" fillId="4" borderId="0" xfId="0" applyFont="1" applyFill="1" applyAlignment="1">
      <alignment vertical="center"/>
    </xf>
    <xf numFmtId="0" fontId="29" fillId="0" borderId="0" xfId="0" applyFont="1" applyAlignment="1">
      <alignment horizontal="center" vertical="center" wrapText="1"/>
    </xf>
    <xf numFmtId="0" fontId="0" fillId="0" borderId="0" xfId="0" applyAlignment="1">
      <alignment horizontal="left" vertical="center"/>
    </xf>
    <xf numFmtId="0" fontId="4" fillId="3" borderId="18" xfId="0" applyFont="1" applyFill="1" applyBorder="1" applyAlignment="1">
      <alignment horizontal="center" vertical="center" wrapText="1"/>
    </xf>
    <xf numFmtId="0" fontId="6" fillId="0" borderId="32" xfId="0" applyFont="1" applyBorder="1" applyAlignment="1">
      <alignment vertical="center"/>
    </xf>
    <xf numFmtId="0" fontId="6" fillId="0" borderId="69" xfId="0" applyFont="1" applyBorder="1" applyAlignment="1">
      <alignment horizontal="left" vertical="center"/>
    </xf>
    <xf numFmtId="0" fontId="0" fillId="0" borderId="0" xfId="0" applyAlignment="1">
      <alignment vertical="center"/>
    </xf>
    <xf numFmtId="49" fontId="0" fillId="0" borderId="0" xfId="0" applyNumberFormat="1" applyAlignment="1">
      <alignment vertical="center"/>
    </xf>
    <xf numFmtId="49" fontId="0" fillId="0" borderId="0" xfId="0" applyNumberFormat="1" applyAlignment="1">
      <alignment horizontal="left" vertical="center"/>
    </xf>
    <xf numFmtId="0" fontId="34" fillId="0" borderId="0" xfId="0" applyFont="1" applyAlignment="1">
      <alignment vertical="center"/>
    </xf>
    <xf numFmtId="49" fontId="34" fillId="0" borderId="0" xfId="0" applyNumberFormat="1" applyFont="1" applyAlignment="1">
      <alignment vertical="center"/>
    </xf>
    <xf numFmtId="49" fontId="34" fillId="0" borderId="0" xfId="0" applyNumberFormat="1" applyFont="1" applyAlignment="1">
      <alignment horizontal="left" vertical="center"/>
    </xf>
    <xf numFmtId="0" fontId="35" fillId="0" borderId="0" xfId="0" applyFont="1" applyAlignment="1">
      <alignment vertical="center"/>
    </xf>
    <xf numFmtId="49" fontId="35" fillId="0" borderId="0" xfId="0" applyNumberFormat="1" applyFont="1" applyAlignment="1">
      <alignment vertical="center"/>
    </xf>
    <xf numFmtId="49" fontId="35" fillId="0" borderId="0" xfId="0" applyNumberFormat="1" applyFont="1" applyAlignment="1">
      <alignment horizontal="left" vertical="center"/>
    </xf>
    <xf numFmtId="0" fontId="1" fillId="4" borderId="0" xfId="0" applyFont="1" applyFill="1" applyAlignment="1">
      <alignment horizontal="center" vertical="center"/>
    </xf>
    <xf numFmtId="0" fontId="41" fillId="4" borderId="0" xfId="0" applyFont="1" applyFill="1" applyAlignment="1">
      <alignment horizontal="center"/>
    </xf>
    <xf numFmtId="0" fontId="3" fillId="4" borderId="0" xfId="0" applyFont="1" applyFill="1" applyAlignment="1">
      <alignment horizontal="left"/>
    </xf>
    <xf numFmtId="0" fontId="6" fillId="4" borderId="12" xfId="0" applyFont="1" applyFill="1" applyBorder="1" applyAlignment="1" applyProtection="1">
      <alignment horizontal="center" vertical="center"/>
      <protection locked="0"/>
    </xf>
    <xf numFmtId="0" fontId="1" fillId="4" borderId="6" xfId="0" applyFont="1" applyFill="1" applyBorder="1"/>
    <xf numFmtId="0" fontId="1" fillId="4" borderId="9" xfId="0" applyFont="1" applyFill="1" applyBorder="1"/>
    <xf numFmtId="0" fontId="1" fillId="4" borderId="11" xfId="0" applyFont="1" applyFill="1" applyBorder="1"/>
    <xf numFmtId="0" fontId="1" fillId="4" borderId="12" xfId="0" applyFont="1" applyFill="1" applyBorder="1"/>
    <xf numFmtId="0" fontId="3" fillId="4" borderId="12" xfId="0" applyFont="1" applyFill="1" applyBorder="1" applyAlignment="1">
      <alignment horizontal="center"/>
    </xf>
    <xf numFmtId="0" fontId="3" fillId="4" borderId="12" xfId="0" applyFont="1" applyFill="1" applyBorder="1" applyAlignment="1">
      <alignment horizontal="left"/>
    </xf>
    <xf numFmtId="0" fontId="39" fillId="0" borderId="0" xfId="6"/>
    <xf numFmtId="0" fontId="44" fillId="0" borderId="6" xfId="6" applyFont="1" applyBorder="1" applyAlignment="1">
      <alignment vertical="center" wrapText="1"/>
    </xf>
    <xf numFmtId="0" fontId="44" fillId="0" borderId="7" xfId="6" applyFont="1" applyBorder="1" applyAlignment="1">
      <alignment vertical="center" wrapText="1"/>
    </xf>
    <xf numFmtId="0" fontId="44" fillId="0" borderId="8" xfId="6" applyFont="1" applyBorder="1" applyAlignment="1">
      <alignment vertical="center" wrapText="1"/>
    </xf>
    <xf numFmtId="0" fontId="44" fillId="0" borderId="9" xfId="6" applyFont="1" applyBorder="1" applyAlignment="1">
      <alignment vertical="center" wrapText="1"/>
    </xf>
    <xf numFmtId="0" fontId="44" fillId="0" borderId="10" xfId="6" applyFont="1" applyBorder="1" applyAlignment="1">
      <alignment vertical="center" wrapText="1"/>
    </xf>
    <xf numFmtId="0" fontId="46" fillId="0" borderId="10" xfId="6" applyFont="1" applyBorder="1" applyAlignment="1">
      <alignment horizontal="center" vertical="center"/>
    </xf>
    <xf numFmtId="0" fontId="46" fillId="0" borderId="9" xfId="6" applyFont="1" applyBorder="1" applyAlignment="1">
      <alignment horizontal="center" vertical="center"/>
    </xf>
    <xf numFmtId="0" fontId="40" fillId="0" borderId="79" xfId="6" applyFont="1" applyBorder="1" applyAlignment="1">
      <alignment horizontal="left" vertical="top"/>
    </xf>
    <xf numFmtId="0" fontId="40" fillId="0" borderId="80" xfId="6" applyFont="1" applyBorder="1" applyAlignment="1">
      <alignment horizontal="left" vertical="top"/>
    </xf>
    <xf numFmtId="0" fontId="40" fillId="0" borderId="81" xfId="6" applyFont="1" applyBorder="1" applyAlignment="1">
      <alignment horizontal="left" vertical="top"/>
    </xf>
    <xf numFmtId="0" fontId="40" fillId="0" borderId="82" xfId="6" applyFont="1" applyBorder="1" applyAlignment="1">
      <alignment horizontal="left" vertical="top"/>
    </xf>
    <xf numFmtId="0" fontId="40" fillId="0" borderId="83" xfId="6" applyFont="1" applyBorder="1" applyAlignment="1">
      <alignment horizontal="left" vertical="top"/>
    </xf>
    <xf numFmtId="0" fontId="40" fillId="0" borderId="74" xfId="6" applyFont="1" applyBorder="1" applyAlignment="1">
      <alignment horizontal="center" vertical="center"/>
    </xf>
    <xf numFmtId="1" fontId="40" fillId="0" borderId="73" xfId="6" applyNumberFormat="1" applyFont="1" applyBorder="1" applyAlignment="1">
      <alignment horizontal="center" vertical="center" shrinkToFit="1"/>
    </xf>
    <xf numFmtId="14" fontId="40" fillId="0" borderId="74" xfId="6" applyNumberFormat="1" applyFont="1" applyBorder="1" applyAlignment="1">
      <alignment horizontal="center" vertical="center"/>
    </xf>
    <xf numFmtId="0" fontId="40" fillId="0" borderId="75" xfId="6" applyFont="1" applyBorder="1" applyAlignment="1">
      <alignment horizontal="center" vertical="center"/>
    </xf>
    <xf numFmtId="0" fontId="40" fillId="0" borderId="76" xfId="6" applyFont="1" applyBorder="1" applyAlignment="1">
      <alignment horizontal="center" vertical="center" wrapText="1"/>
    </xf>
    <xf numFmtId="0" fontId="40" fillId="0" borderId="77" xfId="6" applyFont="1" applyBorder="1" applyAlignment="1">
      <alignment horizontal="center" vertical="center" wrapText="1"/>
    </xf>
    <xf numFmtId="0" fontId="40" fillId="0" borderId="78" xfId="6" applyFont="1" applyBorder="1" applyAlignment="1">
      <alignment horizontal="center" vertical="center" wrapText="1"/>
    </xf>
    <xf numFmtId="0" fontId="44" fillId="0" borderId="0" xfId="6" applyFont="1" applyAlignment="1">
      <alignment vertical="center" wrapText="1"/>
    </xf>
    <xf numFmtId="0" fontId="46" fillId="0" borderId="0" xfId="6" applyFont="1" applyAlignment="1">
      <alignment horizontal="center" vertical="center"/>
    </xf>
    <xf numFmtId="0" fontId="6" fillId="0" borderId="0" xfId="0" applyFont="1" applyAlignment="1">
      <alignment horizontal="center" vertical="center"/>
    </xf>
    <xf numFmtId="0" fontId="25" fillId="0" borderId="0" xfId="0" applyFont="1" applyAlignment="1">
      <alignment horizontal="center" vertical="center"/>
    </xf>
    <xf numFmtId="165" fontId="6" fillId="0" borderId="30" xfId="0" applyNumberFormat="1" applyFont="1" applyBorder="1"/>
    <xf numFmtId="0" fontId="6" fillId="0" borderId="30" xfId="0" applyFont="1" applyBorder="1"/>
    <xf numFmtId="0" fontId="4" fillId="3" borderId="7"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6" fillId="3" borderId="17" xfId="0" applyFont="1" applyFill="1" applyBorder="1" applyAlignment="1">
      <alignment horizontal="center" vertical="center"/>
    </xf>
    <xf numFmtId="0" fontId="4" fillId="3" borderId="0" xfId="0" applyFont="1" applyFill="1" applyAlignment="1">
      <alignment horizontal="center" vertical="center" wrapText="1"/>
    </xf>
    <xf numFmtId="0" fontId="6" fillId="4" borderId="12" xfId="0" quotePrefix="1" applyFont="1" applyFill="1" applyBorder="1" applyAlignment="1">
      <alignment horizontal="center" vertical="center" wrapText="1"/>
    </xf>
    <xf numFmtId="0" fontId="6" fillId="4" borderId="30" xfId="0" applyFont="1" applyFill="1" applyBorder="1" applyAlignment="1">
      <alignment horizontal="center" vertical="center"/>
    </xf>
    <xf numFmtId="0" fontId="6" fillId="4" borderId="18" xfId="0" quotePrefix="1" applyFont="1" applyFill="1" applyBorder="1" applyAlignment="1">
      <alignment horizontal="center" vertical="center" wrapText="1"/>
    </xf>
    <xf numFmtId="0" fontId="6" fillId="3" borderId="30" xfId="0" applyFont="1" applyFill="1" applyBorder="1" applyAlignment="1">
      <alignment horizontal="center" vertical="center"/>
    </xf>
    <xf numFmtId="0" fontId="28" fillId="4" borderId="30" xfId="0" applyFont="1" applyFill="1" applyBorder="1" applyAlignment="1">
      <alignment horizontal="center" vertical="center"/>
    </xf>
    <xf numFmtId="0" fontId="22" fillId="7" borderId="0" xfId="0" applyFont="1" applyFill="1"/>
    <xf numFmtId="0" fontId="6" fillId="0" borderId="12" xfId="0" applyFont="1" applyBorder="1" applyAlignment="1" applyProtection="1">
      <alignment horizontal="center" vertical="center"/>
      <protection locked="0"/>
    </xf>
    <xf numFmtId="0" fontId="6" fillId="0" borderId="30" xfId="0" applyFont="1" applyBorder="1" applyAlignment="1">
      <alignment horizontal="center" vertical="center"/>
    </xf>
    <xf numFmtId="0" fontId="28" fillId="8" borderId="0" xfId="0" applyFont="1" applyFill="1"/>
    <xf numFmtId="49" fontId="6" fillId="0" borderId="17" xfId="0" applyNumberFormat="1" applyFont="1" applyBorder="1" applyAlignment="1" applyProtection="1">
      <alignment horizontal="center" vertical="center" wrapText="1"/>
      <protection locked="0"/>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17" xfId="0" applyFont="1" applyBorder="1" applyAlignment="1">
      <alignment horizontal="left" vertical="center" wrapText="1"/>
    </xf>
    <xf numFmtId="0" fontId="6" fillId="4" borderId="11" xfId="0" applyFont="1" applyFill="1" applyBorder="1" applyAlignment="1">
      <alignment horizontal="center" vertical="center" wrapText="1"/>
    </xf>
    <xf numFmtId="49" fontId="6" fillId="4" borderId="11" xfId="0" applyNumberFormat="1" applyFont="1" applyFill="1" applyBorder="1" applyAlignment="1" applyProtection="1">
      <alignment horizontal="center" vertical="center"/>
      <protection locked="0"/>
    </xf>
    <xf numFmtId="49" fontId="6" fillId="4" borderId="17" xfId="0" applyNumberFormat="1" applyFont="1" applyFill="1" applyBorder="1" applyAlignment="1" applyProtection="1">
      <alignment horizontal="center" vertical="center"/>
      <protection locked="0"/>
    </xf>
    <xf numFmtId="0" fontId="6" fillId="4" borderId="17" xfId="0" applyFont="1" applyFill="1" applyBorder="1" applyAlignment="1">
      <alignment horizontal="center" vertical="center"/>
    </xf>
    <xf numFmtId="49" fontId="6" fillId="4" borderId="17" xfId="0" applyNumberFormat="1" applyFont="1" applyFill="1" applyBorder="1" applyAlignment="1">
      <alignment horizontal="center" vertical="center"/>
    </xf>
    <xf numFmtId="49" fontId="6" fillId="0" borderId="17" xfId="0" applyNumberFormat="1" applyFont="1" applyBorder="1" applyAlignment="1">
      <alignment horizontal="center" vertical="center"/>
    </xf>
    <xf numFmtId="1" fontId="6" fillId="0" borderId="17" xfId="0" applyNumberFormat="1" applyFont="1" applyBorder="1" applyAlignment="1">
      <alignment horizontal="center" vertical="center"/>
    </xf>
    <xf numFmtId="1" fontId="6" fillId="4" borderId="17" xfId="0" applyNumberFormat="1" applyFont="1" applyFill="1" applyBorder="1" applyAlignment="1">
      <alignment horizontal="center" vertical="center"/>
    </xf>
    <xf numFmtId="0" fontId="6" fillId="0" borderId="17" xfId="0" quotePrefix="1" applyFont="1" applyBorder="1" applyAlignment="1">
      <alignment horizontal="center" vertical="center"/>
    </xf>
    <xf numFmtId="165" fontId="6" fillId="4" borderId="11" xfId="0" applyNumberFormat="1" applyFont="1" applyFill="1" applyBorder="1" applyAlignment="1">
      <alignment horizontal="center" vertical="center"/>
    </xf>
    <xf numFmtId="1" fontId="6" fillId="4" borderId="11" xfId="0" applyNumberFormat="1" applyFont="1" applyFill="1" applyBorder="1" applyAlignment="1">
      <alignment horizontal="center" vertical="center"/>
    </xf>
    <xf numFmtId="0" fontId="25" fillId="3" borderId="17" xfId="0" applyFont="1" applyFill="1" applyBorder="1" applyAlignment="1">
      <alignment horizontal="center" vertical="center"/>
    </xf>
    <xf numFmtId="0" fontId="27" fillId="3" borderId="17"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7" xfId="0" quotePrefix="1" applyFont="1" applyFill="1" applyBorder="1" applyAlignment="1">
      <alignment horizontal="center" vertical="center"/>
    </xf>
    <xf numFmtId="49" fontId="6" fillId="3" borderId="17" xfId="0" applyNumberFormat="1" applyFont="1" applyFill="1" applyBorder="1" applyAlignment="1" applyProtection="1">
      <alignment horizontal="center" vertical="center" wrapText="1"/>
      <protection locked="0"/>
    </xf>
    <xf numFmtId="2" fontId="6" fillId="3" borderId="17" xfId="0" applyNumberFormat="1" applyFont="1" applyFill="1" applyBorder="1" applyAlignment="1">
      <alignment horizontal="center" vertical="center"/>
    </xf>
    <xf numFmtId="0" fontId="4" fillId="3" borderId="17"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11" xfId="0" quotePrefix="1" applyFont="1" applyBorder="1" applyAlignment="1">
      <alignment horizontal="center" vertical="center"/>
    </xf>
    <xf numFmtId="49" fontId="6" fillId="0" borderId="11" xfId="0" applyNumberFormat="1" applyFont="1" applyBorder="1" applyAlignment="1" applyProtection="1">
      <alignment horizontal="center" vertical="center" wrapText="1"/>
      <protection locked="0"/>
    </xf>
    <xf numFmtId="0" fontId="6" fillId="4" borderId="11" xfId="0" applyFont="1" applyFill="1" applyBorder="1" applyAlignment="1">
      <alignment horizontal="center" vertical="center"/>
    </xf>
    <xf numFmtId="49" fontId="6" fillId="4" borderId="11" xfId="0" applyNumberFormat="1" applyFont="1" applyFill="1" applyBorder="1" applyAlignment="1">
      <alignment horizontal="center" vertical="center"/>
    </xf>
    <xf numFmtId="2" fontId="6" fillId="4" borderId="11" xfId="0" applyNumberFormat="1" applyFont="1" applyFill="1" applyBorder="1" applyAlignment="1">
      <alignment horizontal="center" vertical="center"/>
    </xf>
    <xf numFmtId="17" fontId="6" fillId="4" borderId="11" xfId="0" quotePrefix="1" applyNumberFormat="1" applyFont="1" applyFill="1" applyBorder="1" applyAlignment="1">
      <alignment horizontal="center" vertical="center"/>
    </xf>
    <xf numFmtId="0" fontId="6" fillId="0" borderId="11" xfId="0" applyFont="1" applyBorder="1" applyAlignment="1">
      <alignment horizontal="center" vertical="center"/>
    </xf>
    <xf numFmtId="49" fontId="6" fillId="4" borderId="11" xfId="0" applyNumberFormat="1" applyFont="1" applyFill="1" applyBorder="1" applyAlignment="1" applyProtection="1">
      <alignment horizontal="center" vertical="center" wrapText="1"/>
      <protection locked="0"/>
    </xf>
    <xf numFmtId="0" fontId="6" fillId="0" borderId="17" xfId="0" applyFont="1" applyBorder="1" applyAlignment="1">
      <alignment horizontal="center" vertical="center" wrapText="1"/>
    </xf>
    <xf numFmtId="49" fontId="6" fillId="4" borderId="17" xfId="0" applyNumberFormat="1" applyFont="1" applyFill="1" applyBorder="1" applyAlignment="1" applyProtection="1">
      <alignment horizontal="center" vertical="center" wrapText="1"/>
      <protection locked="0"/>
    </xf>
    <xf numFmtId="2" fontId="6" fillId="0" borderId="17" xfId="0" applyNumberFormat="1" applyFont="1" applyBorder="1" applyAlignment="1">
      <alignment horizontal="center" vertical="center"/>
    </xf>
    <xf numFmtId="0" fontId="6" fillId="0" borderId="17" xfId="0" applyFont="1" applyBorder="1" applyAlignment="1" applyProtection="1">
      <alignment horizontal="center" vertical="center" wrapText="1"/>
      <protection locked="0"/>
    </xf>
    <xf numFmtId="0" fontId="28" fillId="0" borderId="17" xfId="0" applyFont="1" applyBorder="1" applyAlignment="1">
      <alignment horizontal="center" vertical="center"/>
    </xf>
    <xf numFmtId="49" fontId="28" fillId="4" borderId="17" xfId="0" applyNumberFormat="1" applyFont="1" applyFill="1" applyBorder="1" applyAlignment="1">
      <alignment horizontal="center" vertical="center"/>
    </xf>
    <xf numFmtId="1" fontId="6" fillId="0" borderId="11" xfId="0" applyNumberFormat="1" applyFont="1" applyBorder="1" applyAlignment="1">
      <alignment horizontal="center" vertical="center"/>
    </xf>
    <xf numFmtId="165" fontId="6" fillId="0" borderId="11" xfId="0" applyNumberFormat="1" applyFont="1" applyBorder="1" applyAlignment="1">
      <alignment horizontal="center" vertical="center"/>
    </xf>
    <xf numFmtId="0" fontId="6" fillId="0" borderId="6" xfId="0" quotePrefix="1" applyFont="1" applyBorder="1" applyAlignment="1">
      <alignment horizontal="center" vertical="center"/>
    </xf>
    <xf numFmtId="49" fontId="6" fillId="0" borderId="6" xfId="0" applyNumberFormat="1" applyFont="1" applyBorder="1" applyAlignment="1" applyProtection="1">
      <alignment horizontal="center" vertical="center" wrapText="1"/>
      <protection locked="0"/>
    </xf>
    <xf numFmtId="0" fontId="6" fillId="0" borderId="6" xfId="0" applyFont="1" applyBorder="1" applyAlignment="1">
      <alignment horizontal="center" vertical="center"/>
    </xf>
    <xf numFmtId="0" fontId="6" fillId="0" borderId="6" xfId="0" applyFont="1" applyBorder="1" applyAlignment="1">
      <alignment horizontal="left" vertical="center" wrapText="1"/>
    </xf>
    <xf numFmtId="49" fontId="6" fillId="4" borderId="6" xfId="0" applyNumberFormat="1" applyFont="1" applyFill="1" applyBorder="1" applyAlignment="1" applyProtection="1">
      <alignment horizontal="center" vertical="center"/>
      <protection locked="0"/>
    </xf>
    <xf numFmtId="0" fontId="6" fillId="4" borderId="6" xfId="0" applyFont="1" applyFill="1" applyBorder="1" applyAlignment="1">
      <alignment horizontal="center" vertical="center"/>
    </xf>
    <xf numFmtId="49" fontId="28" fillId="4" borderId="6" xfId="0" applyNumberFormat="1" applyFont="1" applyFill="1" applyBorder="1" applyAlignment="1">
      <alignment horizontal="center" vertical="center"/>
    </xf>
    <xf numFmtId="49" fontId="6" fillId="0" borderId="11" xfId="0" applyNumberFormat="1" applyFont="1" applyBorder="1" applyAlignment="1" applyProtection="1">
      <alignment horizontal="center" vertical="center"/>
      <protection locked="0"/>
    </xf>
    <xf numFmtId="49" fontId="6" fillId="0" borderId="17" xfId="0" applyNumberFormat="1" applyFont="1" applyBorder="1" applyAlignment="1" applyProtection="1">
      <alignment horizontal="center" vertical="center"/>
      <protection locked="0"/>
    </xf>
    <xf numFmtId="0" fontId="27" fillId="4" borderId="0" xfId="0" applyFont="1" applyFill="1" applyAlignment="1">
      <alignment horizontal="center"/>
    </xf>
    <xf numFmtId="49" fontId="0" fillId="0" borderId="0" xfId="0" applyNumberFormat="1" applyAlignment="1">
      <alignment horizontal="center" vertic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6" fillId="4" borderId="30" xfId="0" applyFont="1" applyFill="1" applyBorder="1" applyAlignment="1">
      <alignment horizontal="center" vertical="center" wrapText="1"/>
    </xf>
    <xf numFmtId="49" fontId="6" fillId="4" borderId="30" xfId="0" applyNumberFormat="1" applyFont="1" applyFill="1" applyBorder="1" applyAlignment="1" applyProtection="1">
      <alignment horizontal="center" vertical="center"/>
      <protection locked="0"/>
    </xf>
    <xf numFmtId="0" fontId="6" fillId="4" borderId="30" xfId="0" applyFont="1" applyFill="1" applyBorder="1" applyAlignment="1" applyProtection="1">
      <alignment horizontal="center" vertical="center"/>
      <protection locked="0"/>
    </xf>
    <xf numFmtId="49" fontId="6" fillId="4" borderId="30" xfId="0" applyNumberFormat="1" applyFont="1" applyFill="1" applyBorder="1" applyAlignment="1">
      <alignment horizontal="center" vertical="center"/>
    </xf>
    <xf numFmtId="165" fontId="6" fillId="4" borderId="30" xfId="0" applyNumberFormat="1" applyFont="1" applyFill="1" applyBorder="1" applyAlignment="1">
      <alignment horizontal="center" vertical="center"/>
    </xf>
    <xf numFmtId="1" fontId="6" fillId="4" borderId="30" xfId="0" applyNumberFormat="1" applyFont="1" applyFill="1" applyBorder="1" applyAlignment="1">
      <alignment horizontal="center" vertical="center"/>
    </xf>
    <xf numFmtId="0" fontId="6" fillId="4" borderId="30" xfId="0" quotePrefix="1" applyFont="1" applyFill="1" applyBorder="1" applyAlignment="1">
      <alignment horizontal="center" vertical="center"/>
    </xf>
    <xf numFmtId="49" fontId="6" fillId="4" borderId="30" xfId="0" applyNumberFormat="1" applyFont="1" applyFill="1" applyBorder="1" applyAlignment="1" applyProtection="1">
      <alignment horizontal="center" vertical="center" wrapText="1"/>
      <protection locked="0"/>
    </xf>
    <xf numFmtId="0" fontId="6" fillId="4" borderId="30" xfId="0" applyFont="1" applyFill="1" applyBorder="1" applyAlignment="1">
      <alignment horizontal="left" vertical="center" wrapText="1"/>
    </xf>
    <xf numFmtId="49" fontId="28" fillId="4" borderId="30" xfId="0" applyNumberFormat="1" applyFont="1" applyFill="1" applyBorder="1" applyAlignment="1">
      <alignment horizontal="center" vertical="center"/>
    </xf>
    <xf numFmtId="0" fontId="28" fillId="4" borderId="30" xfId="0" applyFont="1" applyFill="1" applyBorder="1" applyAlignment="1">
      <alignment horizontal="center" vertical="center" wrapText="1"/>
    </xf>
    <xf numFmtId="49" fontId="28" fillId="4" borderId="30" xfId="0" applyNumberFormat="1" applyFont="1" applyFill="1" applyBorder="1" applyAlignment="1" applyProtection="1">
      <alignment horizontal="center" vertical="center"/>
      <protection locked="0"/>
    </xf>
    <xf numFmtId="0" fontId="28" fillId="4" borderId="30" xfId="0" applyFont="1" applyFill="1" applyBorder="1" applyAlignment="1" applyProtection="1">
      <alignment horizontal="center" vertical="center"/>
      <protection locked="0"/>
    </xf>
    <xf numFmtId="165" fontId="28" fillId="4" borderId="30" xfId="0" applyNumberFormat="1" applyFont="1" applyFill="1" applyBorder="1" applyAlignment="1">
      <alignment horizontal="center" vertical="center"/>
    </xf>
    <xf numFmtId="1" fontId="28" fillId="4" borderId="30" xfId="0" applyNumberFormat="1" applyFont="1" applyFill="1" applyBorder="1" applyAlignment="1">
      <alignment horizontal="center" vertical="center"/>
    </xf>
    <xf numFmtId="0" fontId="28" fillId="4" borderId="30" xfId="0" quotePrefix="1" applyFont="1" applyFill="1" applyBorder="1" applyAlignment="1">
      <alignment horizontal="center" vertical="center"/>
    </xf>
    <xf numFmtId="49" fontId="28" fillId="4" borderId="30" xfId="0" applyNumberFormat="1" applyFont="1" applyFill="1" applyBorder="1" applyAlignment="1" applyProtection="1">
      <alignment horizontal="center" vertical="center" wrapText="1"/>
      <protection locked="0"/>
    </xf>
    <xf numFmtId="0" fontId="28" fillId="4" borderId="30" xfId="0" applyFont="1" applyFill="1" applyBorder="1" applyAlignment="1">
      <alignment horizontal="left" vertical="center" wrapText="1"/>
    </xf>
    <xf numFmtId="2" fontId="6" fillId="4" borderId="30" xfId="0" applyNumberFormat="1" applyFont="1" applyFill="1" applyBorder="1" applyAlignment="1">
      <alignment horizontal="center" vertical="center"/>
    </xf>
    <xf numFmtId="0" fontId="35" fillId="0" borderId="0" xfId="0" applyFont="1" applyAlignment="1">
      <alignment horizontal="center" vertical="center"/>
    </xf>
    <xf numFmtId="49" fontId="35" fillId="0" borderId="0" xfId="0" applyNumberFormat="1" applyFont="1" applyAlignment="1">
      <alignment horizontal="center" vertical="center"/>
    </xf>
    <xf numFmtId="0" fontId="0" fillId="0" borderId="0" xfId="0" applyAlignment="1">
      <alignment horizontal="left" vertical="center"/>
    </xf>
    <xf numFmtId="49" fontId="0" fillId="0" borderId="0" xfId="0" applyNumberFormat="1" applyAlignment="1">
      <alignment horizontal="center" vertical="center"/>
    </xf>
    <xf numFmtId="0" fontId="0" fillId="0" borderId="0" xfId="0" applyAlignment="1">
      <alignment horizontal="center" vertical="center"/>
    </xf>
    <xf numFmtId="49" fontId="34" fillId="0" borderId="0" xfId="0" applyNumberFormat="1" applyFont="1" applyAlignment="1">
      <alignment horizontal="center" vertical="center"/>
    </xf>
    <xf numFmtId="0" fontId="34" fillId="0" borderId="0" xfId="0" applyFont="1" applyAlignment="1">
      <alignment horizontal="center" vertical="center"/>
    </xf>
    <xf numFmtId="0" fontId="34" fillId="0" borderId="0" xfId="0" applyFont="1" applyAlignment="1">
      <alignment horizontal="left" vertical="center"/>
    </xf>
    <xf numFmtId="0" fontId="36" fillId="0" borderId="0" xfId="0" applyFont="1" applyAlignment="1">
      <alignment horizontal="left" vertical="center"/>
    </xf>
    <xf numFmtId="0" fontId="35" fillId="0" borderId="0" xfId="0" applyFont="1" applyAlignment="1">
      <alignment horizontal="left" vertical="center"/>
    </xf>
    <xf numFmtId="0" fontId="6" fillId="0" borderId="0" xfId="0" applyFont="1" applyAlignment="1">
      <alignment horizontal="center" vertical="center"/>
    </xf>
    <xf numFmtId="0" fontId="42" fillId="4" borderId="0" xfId="0" applyFont="1" applyFill="1" applyAlignment="1">
      <alignment horizontal="center"/>
    </xf>
    <xf numFmtId="0" fontId="42" fillId="4" borderId="0" xfId="0" applyFont="1" applyFill="1" applyAlignment="1">
      <alignment horizontal="center" vertical="center"/>
    </xf>
    <xf numFmtId="0" fontId="7" fillId="4" borderId="0" xfId="0" applyFont="1" applyFill="1" applyAlignment="1">
      <alignment horizontal="left" vertical="center" indent="1"/>
    </xf>
    <xf numFmtId="0" fontId="25" fillId="0" borderId="0" xfId="0" applyFont="1" applyAlignment="1">
      <alignment horizontal="center" vertical="center"/>
    </xf>
    <xf numFmtId="0" fontId="0" fillId="4" borderId="0" xfId="0" applyFill="1" applyAlignment="1">
      <alignment horizontal="center" vertical="center"/>
    </xf>
    <xf numFmtId="0" fontId="40" fillId="0" borderId="0" xfId="5" applyFont="1" applyAlignment="1">
      <alignment horizontal="center" vertical="top" wrapText="1"/>
    </xf>
    <xf numFmtId="0" fontId="6" fillId="0" borderId="18" xfId="0" applyFont="1" applyBorder="1" applyAlignment="1">
      <alignment horizontal="left" vertical="center"/>
    </xf>
    <xf numFmtId="0" fontId="6" fillId="0" borderId="18" xfId="0" applyFont="1" applyBorder="1" applyAlignment="1">
      <alignment horizontal="center" vertical="center"/>
    </xf>
    <xf numFmtId="0" fontId="29" fillId="0" borderId="0" xfId="0" applyFont="1" applyAlignment="1">
      <alignment horizontal="center" vertical="center" wrapText="1"/>
    </xf>
    <xf numFmtId="0" fontId="0" fillId="4" borderId="0" xfId="0" applyFill="1" applyAlignment="1">
      <alignment horizontal="left"/>
    </xf>
    <xf numFmtId="0" fontId="6" fillId="0" borderId="17" xfId="0" applyFont="1" applyBorder="1" applyAlignment="1">
      <alignment horizontal="left" vertical="center"/>
    </xf>
    <xf numFmtId="0" fontId="6" fillId="0" borderId="6" xfId="0" applyFont="1" applyBorder="1" applyAlignment="1">
      <alignment vertical="center"/>
    </xf>
    <xf numFmtId="0" fontId="6" fillId="0" borderId="7" xfId="0" applyFont="1" applyBorder="1" applyAlignment="1">
      <alignment vertical="center"/>
    </xf>
    <xf numFmtId="0" fontId="6" fillId="0" borderId="17" xfId="0" applyFont="1" applyBorder="1" applyAlignment="1">
      <alignment vertical="center"/>
    </xf>
    <xf numFmtId="0" fontId="6" fillId="0" borderId="18" xfId="0" applyFont="1" applyBorder="1" applyAlignment="1">
      <alignment vertical="center"/>
    </xf>
    <xf numFmtId="0" fontId="6" fillId="0" borderId="6" xfId="0" applyFont="1" applyBorder="1" applyAlignment="1">
      <alignment horizontal="center"/>
    </xf>
    <xf numFmtId="0" fontId="6" fillId="0" borderId="9" xfId="0" applyFont="1" applyBorder="1" applyAlignment="1">
      <alignment horizontal="center"/>
    </xf>
    <xf numFmtId="0" fontId="6" fillId="0" borderId="11" xfId="0" applyFont="1" applyBorder="1" applyAlignment="1">
      <alignment horizontal="center"/>
    </xf>
    <xf numFmtId="0" fontId="26" fillId="0" borderId="17" xfId="0" applyFont="1" applyBorder="1" applyAlignment="1">
      <alignment horizontal="left" vertical="center"/>
    </xf>
    <xf numFmtId="0" fontId="26" fillId="0" borderId="18" xfId="0" applyFont="1" applyBorder="1" applyAlignment="1">
      <alignment horizontal="left" vertical="center"/>
    </xf>
    <xf numFmtId="0" fontId="27" fillId="0" borderId="17" xfId="0" applyFont="1" applyBorder="1" applyAlignment="1">
      <alignment horizontal="left"/>
    </xf>
    <xf numFmtId="0" fontId="27" fillId="0" borderId="18" xfId="0" applyFont="1" applyBorder="1" applyAlignment="1">
      <alignment horizontal="left"/>
    </xf>
    <xf numFmtId="0" fontId="2" fillId="4" borderId="6" xfId="0" applyFont="1" applyFill="1" applyBorder="1" applyAlignment="1">
      <alignment horizontal="left" vertical="center" indent="1"/>
    </xf>
    <xf numFmtId="0" fontId="2" fillId="4" borderId="7" xfId="0" applyFont="1" applyFill="1" applyBorder="1" applyAlignment="1">
      <alignment horizontal="left" vertical="center" indent="1"/>
    </xf>
    <xf numFmtId="0" fontId="2" fillId="4" borderId="9" xfId="0" applyFont="1" applyFill="1" applyBorder="1" applyAlignment="1">
      <alignment horizontal="left" vertical="center" indent="1"/>
    </xf>
    <xf numFmtId="0" fontId="2" fillId="4" borderId="0" xfId="0" applyFont="1" applyFill="1" applyAlignment="1">
      <alignment horizontal="left" vertical="center" indent="1"/>
    </xf>
    <xf numFmtId="0" fontId="32" fillId="4" borderId="7" xfId="0" applyFont="1" applyFill="1" applyBorder="1" applyAlignment="1">
      <alignment horizontal="left" vertical="center" indent="1"/>
    </xf>
    <xf numFmtId="0" fontId="32" fillId="4" borderId="0" xfId="0" applyFont="1" applyFill="1" applyAlignment="1">
      <alignment horizontal="left" vertical="center" indent="1"/>
    </xf>
    <xf numFmtId="0" fontId="24" fillId="2" borderId="6" xfId="0" applyFont="1" applyFill="1" applyBorder="1" applyAlignment="1">
      <alignment horizontal="center" vertical="center"/>
    </xf>
    <xf numFmtId="0" fontId="24" fillId="2" borderId="7" xfId="0" applyFont="1" applyFill="1" applyBorder="1" applyAlignment="1">
      <alignment horizontal="center" vertical="center"/>
    </xf>
    <xf numFmtId="0" fontId="24" fillId="2" borderId="11" xfId="0" applyFont="1" applyFill="1" applyBorder="1" applyAlignment="1">
      <alignment horizontal="center" vertical="center"/>
    </xf>
    <xf numFmtId="0" fontId="24" fillId="2" borderId="12" xfId="0" applyFont="1" applyFill="1" applyBorder="1" applyAlignment="1">
      <alignment horizontal="center" vertical="center"/>
    </xf>
    <xf numFmtId="0" fontId="4" fillId="3" borderId="6"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11" xfId="0" applyFont="1" applyFill="1" applyBorder="1" applyAlignment="1">
      <alignment horizontal="center" vertical="center" wrapText="1"/>
    </xf>
    <xf numFmtId="0" fontId="26" fillId="3" borderId="6" xfId="0" applyFont="1" applyFill="1" applyBorder="1" applyAlignment="1">
      <alignment horizontal="center" vertical="center" wrapText="1"/>
    </xf>
    <xf numFmtId="0" fontId="26" fillId="3" borderId="9" xfId="0" applyFont="1" applyFill="1" applyBorder="1" applyAlignment="1">
      <alignment horizontal="center" vertical="center" wrapText="1"/>
    </xf>
    <xf numFmtId="0" fontId="26" fillId="3" borderId="11"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25" fillId="3" borderId="12" xfId="0" applyFont="1" applyFill="1" applyBorder="1" applyAlignment="1">
      <alignment horizontal="center" vertical="center" wrapText="1"/>
    </xf>
    <xf numFmtId="0" fontId="4" fillId="3" borderId="45" xfId="0" applyFont="1" applyFill="1" applyBorder="1" applyAlignment="1">
      <alignment horizontal="center" vertical="center" wrapText="1"/>
    </xf>
    <xf numFmtId="0" fontId="4" fillId="3" borderId="84" xfId="0" applyFont="1" applyFill="1" applyBorder="1" applyAlignment="1">
      <alignment horizontal="center" vertical="center" wrapText="1"/>
    </xf>
    <xf numFmtId="0" fontId="4" fillId="3" borderId="85"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25" fillId="3" borderId="6" xfId="0" applyFont="1" applyFill="1" applyBorder="1" applyAlignment="1">
      <alignment horizontal="center" vertical="center"/>
    </xf>
    <xf numFmtId="0" fontId="25" fillId="3" borderId="11" xfId="0" applyFont="1" applyFill="1" applyBorder="1" applyAlignment="1">
      <alignment horizontal="center" vertical="center"/>
    </xf>
    <xf numFmtId="0" fontId="20" fillId="0" borderId="1" xfId="3" applyFont="1" applyBorder="1" applyAlignment="1">
      <alignment horizontal="right" vertical="center" wrapText="1"/>
    </xf>
    <xf numFmtId="0" fontId="20" fillId="0" borderId="2" xfId="3" applyFont="1" applyBorder="1" applyAlignment="1">
      <alignment horizontal="right" vertical="center" wrapText="1"/>
    </xf>
    <xf numFmtId="0" fontId="20" fillId="0" borderId="3" xfId="3" applyFont="1" applyBorder="1" applyAlignment="1">
      <alignment horizontal="right" vertical="center" wrapText="1"/>
    </xf>
    <xf numFmtId="0" fontId="19" fillId="0" borderId="20" xfId="3" applyFont="1" applyBorder="1" applyAlignment="1">
      <alignment horizontal="center" wrapText="1"/>
    </xf>
    <xf numFmtId="0" fontId="19" fillId="0" borderId="0" xfId="3" applyFont="1" applyAlignment="1">
      <alignment horizontal="center" wrapText="1"/>
    </xf>
    <xf numFmtId="0" fontId="19" fillId="0" borderId="21" xfId="3" applyFont="1" applyBorder="1" applyAlignment="1">
      <alignment horizontal="center" wrapText="1"/>
    </xf>
    <xf numFmtId="0" fontId="14" fillId="6" borderId="20" xfId="3" applyFont="1" applyFill="1" applyBorder="1" applyAlignment="1">
      <alignment horizontal="right" vertical="center" wrapText="1"/>
    </xf>
    <xf numFmtId="0" fontId="9" fillId="6" borderId="0" xfId="3" applyFill="1" applyAlignment="1">
      <alignment vertical="center"/>
    </xf>
    <xf numFmtId="0" fontId="14" fillId="0" borderId="0" xfId="1" applyFont="1" applyAlignment="1">
      <alignment horizontal="left" vertical="center"/>
    </xf>
    <xf numFmtId="0" fontId="14" fillId="0" borderId="21" xfId="1" applyFont="1" applyBorder="1" applyAlignment="1">
      <alignment horizontal="left" vertical="center"/>
    </xf>
    <xf numFmtId="0" fontId="14" fillId="6" borderId="20" xfId="3" applyFont="1" applyFill="1" applyBorder="1" applyAlignment="1">
      <alignment horizontal="right" vertical="center"/>
    </xf>
    <xf numFmtId="0" fontId="14" fillId="6" borderId="0" xfId="3" applyFont="1" applyFill="1" applyAlignment="1">
      <alignment horizontal="right" vertical="center"/>
    </xf>
    <xf numFmtId="0" fontId="14" fillId="0" borderId="0" xfId="3" applyFont="1" applyAlignment="1">
      <alignment horizontal="left" vertical="center" wrapText="1"/>
    </xf>
    <xf numFmtId="0" fontId="9" fillId="0" borderId="0" xfId="3" applyAlignment="1">
      <alignment vertical="center"/>
    </xf>
    <xf numFmtId="0" fontId="9" fillId="0" borderId="21" xfId="3" applyBorder="1" applyAlignment="1">
      <alignment vertical="center"/>
    </xf>
    <xf numFmtId="0" fontId="9" fillId="0" borderId="0" xfId="3" applyAlignment="1">
      <alignment horizontal="left" vertical="center" wrapText="1"/>
    </xf>
    <xf numFmtId="0" fontId="12" fillId="0" borderId="17" xfId="2" applyFont="1" applyBorder="1" applyAlignment="1">
      <alignment horizontal="center" vertical="center"/>
    </xf>
    <xf numFmtId="0" fontId="12" fillId="0" borderId="18" xfId="2" applyFont="1" applyBorder="1" applyAlignment="1">
      <alignment horizontal="center" vertical="center"/>
    </xf>
    <xf numFmtId="0" fontId="12" fillId="0" borderId="19" xfId="2" applyFont="1" applyBorder="1" applyAlignment="1">
      <alignment horizontal="center" vertical="center"/>
    </xf>
    <xf numFmtId="0" fontId="11" fillId="0" borderId="27" xfId="3" applyFont="1" applyBorder="1" applyAlignment="1">
      <alignment horizontal="center" wrapText="1"/>
    </xf>
    <xf numFmtId="0" fontId="11" fillId="0" borderId="28" xfId="3" applyFont="1" applyBorder="1" applyAlignment="1">
      <alignment horizontal="center" wrapText="1"/>
    </xf>
    <xf numFmtId="0" fontId="11" fillId="0" borderId="29" xfId="3" applyFont="1" applyBorder="1" applyAlignment="1">
      <alignment horizontal="center" wrapText="1"/>
    </xf>
    <xf numFmtId="0" fontId="9" fillId="0" borderId="42" xfId="3" applyBorder="1" applyAlignment="1">
      <alignment horizontal="center" wrapText="1"/>
    </xf>
    <xf numFmtId="0" fontId="9" fillId="0" borderId="30" xfId="3" applyBorder="1" applyAlignment="1">
      <alignment horizontal="center" wrapText="1"/>
    </xf>
    <xf numFmtId="0" fontId="5" fillId="4" borderId="0" xfId="0" applyFont="1" applyFill="1" applyAlignment="1">
      <alignment horizontal="left"/>
    </xf>
    <xf numFmtId="14" fontId="5" fillId="0" borderId="0" xfId="0" applyNumberFormat="1" applyFont="1" applyAlignment="1">
      <alignment horizontal="left"/>
    </xf>
    <xf numFmtId="0" fontId="5" fillId="0" borderId="0" xfId="0" applyFont="1" applyAlignment="1">
      <alignment horizontal="left"/>
    </xf>
    <xf numFmtId="0" fontId="0" fillId="0" borderId="40" xfId="0" applyBorder="1" applyAlignment="1">
      <alignment horizontal="center"/>
    </xf>
    <xf numFmtId="0" fontId="0" fillId="0" borderId="30" xfId="0" applyBorder="1" applyAlignment="1">
      <alignment horizontal="center"/>
    </xf>
    <xf numFmtId="0" fontId="0" fillId="0" borderId="42" xfId="0" applyBorder="1" applyAlignment="1">
      <alignment horizontal="center"/>
    </xf>
    <xf numFmtId="0" fontId="0" fillId="0" borderId="34" xfId="0" applyBorder="1" applyAlignment="1">
      <alignment horizontal="center"/>
    </xf>
    <xf numFmtId="0" fontId="0" fillId="0" borderId="45" xfId="0" applyBorder="1" applyAlignment="1">
      <alignment horizontal="center"/>
    </xf>
    <xf numFmtId="0" fontId="0" fillId="0" borderId="44" xfId="0" applyBorder="1" applyAlignment="1">
      <alignment horizontal="center"/>
    </xf>
    <xf numFmtId="0" fontId="4" fillId="0" borderId="43" xfId="0" applyFont="1" applyBorder="1" applyAlignment="1">
      <alignment horizontal="center" vertical="center"/>
    </xf>
    <xf numFmtId="0" fontId="4" fillId="0" borderId="42" xfId="0" applyFont="1" applyBorder="1" applyAlignment="1">
      <alignment horizontal="center" vertical="center"/>
    </xf>
    <xf numFmtId="0" fontId="4" fillId="0" borderId="44" xfId="0" applyFont="1" applyBorder="1" applyAlignment="1">
      <alignment horizontal="center" vertical="center"/>
    </xf>
    <xf numFmtId="0" fontId="4" fillId="0" borderId="38" xfId="0" applyFont="1" applyBorder="1" applyAlignment="1">
      <alignment horizontal="center"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0" fillId="0" borderId="47" xfId="0" applyBorder="1" applyAlignment="1">
      <alignment horizontal="center"/>
    </xf>
    <xf numFmtId="0" fontId="5" fillId="4" borderId="0" xfId="0" applyFont="1" applyFill="1" applyAlignment="1">
      <alignment horizontal="center"/>
    </xf>
    <xf numFmtId="0" fontId="0" fillId="0" borderId="46" xfId="0" applyBorder="1" applyAlignment="1">
      <alignment horizontal="center"/>
    </xf>
    <xf numFmtId="14" fontId="0" fillId="0" borderId="45" xfId="0" applyNumberFormat="1" applyBorder="1" applyAlignment="1">
      <alignment horizontal="center"/>
    </xf>
    <xf numFmtId="0" fontId="0" fillId="0" borderId="43" xfId="0" applyBorder="1" applyAlignment="1">
      <alignment horizontal="center"/>
    </xf>
    <xf numFmtId="0" fontId="7" fillId="4" borderId="0" xfId="0" applyFont="1" applyFill="1" applyAlignment="1">
      <alignment horizontal="center" vertical="center"/>
    </xf>
    <xf numFmtId="0" fontId="6" fillId="0" borderId="56" xfId="0" applyFont="1" applyBorder="1" applyAlignment="1">
      <alignment horizontal="center" vertical="center"/>
    </xf>
    <xf numFmtId="0" fontId="6" fillId="0" borderId="51" xfId="0" applyFont="1" applyBorder="1" applyAlignment="1">
      <alignment horizontal="center" vertical="center"/>
    </xf>
    <xf numFmtId="0" fontId="6" fillId="0" borderId="39" xfId="0" applyFont="1" applyBorder="1" applyAlignment="1">
      <alignment vertical="center"/>
    </xf>
    <xf numFmtId="0" fontId="6" fillId="0" borderId="57" xfId="0" applyFont="1" applyBorder="1" applyAlignment="1">
      <alignment vertical="center"/>
    </xf>
    <xf numFmtId="49" fontId="6" fillId="0" borderId="48" xfId="0" applyNumberFormat="1" applyFont="1" applyBorder="1" applyAlignment="1" applyProtection="1">
      <alignment horizontal="center" vertical="center" wrapText="1"/>
      <protection locked="0"/>
    </xf>
    <xf numFmtId="0" fontId="6" fillId="0" borderId="48" xfId="0" applyFont="1" applyBorder="1" applyAlignment="1" applyProtection="1">
      <alignment horizontal="center" vertical="center" wrapText="1"/>
      <protection locked="0"/>
    </xf>
    <xf numFmtId="0" fontId="6" fillId="0" borderId="48" xfId="0" applyFont="1" applyBorder="1" applyAlignment="1">
      <alignment horizontal="center" vertical="center"/>
    </xf>
    <xf numFmtId="0" fontId="6" fillId="0" borderId="62" xfId="0" applyFont="1" applyBorder="1" applyAlignment="1">
      <alignment horizontal="center" vertical="center"/>
    </xf>
    <xf numFmtId="0" fontId="6" fillId="0" borderId="63" xfId="0" applyFont="1" applyBorder="1" applyAlignment="1">
      <alignment horizontal="center" vertical="center"/>
    </xf>
    <xf numFmtId="0" fontId="6" fillId="0" borderId="64" xfId="0" applyFont="1" applyBorder="1" applyAlignment="1">
      <alignment horizontal="center" vertical="center"/>
    </xf>
    <xf numFmtId="49" fontId="6" fillId="0" borderId="62" xfId="0" applyNumberFormat="1" applyFont="1" applyBorder="1" applyAlignment="1" applyProtection="1">
      <alignment horizontal="center" vertical="center" wrapText="1"/>
      <protection locked="0"/>
    </xf>
    <xf numFmtId="49" fontId="6" fillId="0" borderId="64" xfId="0" applyNumberFormat="1" applyFont="1" applyBorder="1" applyAlignment="1" applyProtection="1">
      <alignment horizontal="center" vertical="center" wrapText="1"/>
      <protection locked="0"/>
    </xf>
    <xf numFmtId="0" fontId="6" fillId="0" borderId="62" xfId="0" applyFont="1" applyBorder="1" applyAlignment="1" applyProtection="1">
      <alignment horizontal="center" vertical="center" wrapText="1"/>
      <protection locked="0"/>
    </xf>
    <xf numFmtId="0" fontId="6" fillId="0" borderId="64" xfId="0" applyFont="1" applyBorder="1" applyAlignment="1" applyProtection="1">
      <alignment horizontal="center" vertical="center" wrapText="1"/>
      <protection locked="0"/>
    </xf>
    <xf numFmtId="49" fontId="6" fillId="0" borderId="62" xfId="0" applyNumberFormat="1" applyFont="1" applyBorder="1" applyAlignment="1">
      <alignment horizontal="center" vertical="center"/>
    </xf>
    <xf numFmtId="49" fontId="6" fillId="0" borderId="63" xfId="0" applyNumberFormat="1" applyFont="1" applyBorder="1" applyAlignment="1">
      <alignment horizontal="center" vertical="center"/>
    </xf>
    <xf numFmtId="49" fontId="6" fillId="0" borderId="64" xfId="0" applyNumberFormat="1" applyFont="1" applyBorder="1" applyAlignment="1">
      <alignment horizontal="center" vertical="center"/>
    </xf>
    <xf numFmtId="49" fontId="6" fillId="0" borderId="48" xfId="0" applyNumberFormat="1" applyFont="1" applyBorder="1" applyAlignment="1" applyProtection="1">
      <alignment horizontal="center" vertical="center"/>
      <protection locked="0"/>
    </xf>
    <xf numFmtId="49" fontId="6" fillId="0" borderId="48" xfId="0" applyNumberFormat="1" applyFont="1" applyBorder="1" applyAlignment="1">
      <alignment horizontal="center" vertical="center"/>
    </xf>
    <xf numFmtId="0" fontId="6" fillId="0" borderId="51" xfId="0" applyFont="1" applyBorder="1" applyAlignment="1">
      <alignment horizontal="center" vertical="center" wrapText="1"/>
    </xf>
    <xf numFmtId="2" fontId="6" fillId="0" borderId="48" xfId="0" applyNumberFormat="1" applyFont="1" applyBorder="1" applyAlignment="1">
      <alignment horizontal="center" vertical="center"/>
    </xf>
    <xf numFmtId="49" fontId="6" fillId="0" borderId="51" xfId="0" applyNumberFormat="1" applyFont="1" applyBorder="1" applyAlignment="1" applyProtection="1">
      <alignment horizontal="center" vertical="center" wrapText="1"/>
      <protection locked="0"/>
    </xf>
    <xf numFmtId="49" fontId="6" fillId="0" borderId="14" xfId="0" applyNumberFormat="1" applyFont="1" applyBorder="1" applyAlignment="1">
      <alignment horizontal="center" vertical="center"/>
    </xf>
    <xf numFmtId="49" fontId="6" fillId="0" borderId="16" xfId="0" applyNumberFormat="1" applyFont="1" applyBorder="1" applyAlignment="1">
      <alignment horizontal="center" vertical="center"/>
    </xf>
    <xf numFmtId="49" fontId="6" fillId="0" borderId="15" xfId="0" applyNumberFormat="1" applyFont="1" applyBorder="1" applyAlignment="1">
      <alignment horizontal="center" vertical="center"/>
    </xf>
    <xf numFmtId="49" fontId="6" fillId="0" borderId="14" xfId="0" applyNumberFormat="1" applyFont="1" applyBorder="1" applyAlignment="1" applyProtection="1">
      <alignment horizontal="center" vertical="center" wrapText="1"/>
      <protection locked="0"/>
    </xf>
    <xf numFmtId="49" fontId="6" fillId="0" borderId="16" xfId="0" applyNumberFormat="1" applyFont="1" applyBorder="1" applyAlignment="1" applyProtection="1">
      <alignment horizontal="center" vertical="center" wrapText="1"/>
      <protection locked="0"/>
    </xf>
    <xf numFmtId="49" fontId="6" fillId="0" borderId="15" xfId="0" applyNumberFormat="1" applyFont="1" applyBorder="1" applyAlignment="1" applyProtection="1">
      <alignment horizontal="center" vertical="center" wrapText="1"/>
      <protection locked="0"/>
    </xf>
    <xf numFmtId="2" fontId="6" fillId="0" borderId="14"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5" xfId="0" applyNumberFormat="1"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4" fillId="3" borderId="23"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21"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24" fillId="2" borderId="1" xfId="0" applyFont="1" applyFill="1" applyBorder="1" applyAlignment="1">
      <alignment horizontal="center" vertical="center"/>
    </xf>
    <xf numFmtId="0" fontId="24" fillId="2" borderId="2" xfId="0" applyFont="1" applyFill="1" applyBorder="1" applyAlignment="1">
      <alignment horizontal="center" vertical="center"/>
    </xf>
    <xf numFmtId="0" fontId="24" fillId="2" borderId="3" xfId="0" applyFont="1" applyFill="1" applyBorder="1" applyAlignment="1">
      <alignment horizontal="center" vertical="center"/>
    </xf>
    <xf numFmtId="0" fontId="24" fillId="2" borderId="20" xfId="0" applyFont="1" applyFill="1" applyBorder="1" applyAlignment="1">
      <alignment horizontal="center" vertical="center"/>
    </xf>
    <xf numFmtId="0" fontId="24" fillId="2" borderId="0" xfId="0" applyFont="1" applyFill="1" applyAlignment="1">
      <alignment horizontal="center" vertical="center"/>
    </xf>
    <xf numFmtId="0" fontId="24" fillId="2" borderId="21" xfId="0" applyFont="1" applyFill="1" applyBorder="1" applyAlignment="1">
      <alignment horizontal="center" vertical="center"/>
    </xf>
    <xf numFmtId="0" fontId="4" fillId="3" borderId="22"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35"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0" xfId="0" applyFont="1" applyFill="1" applyAlignment="1">
      <alignment horizontal="center" vertical="center"/>
    </xf>
    <xf numFmtId="0" fontId="4" fillId="3" borderId="10" xfId="0" applyFont="1" applyFill="1" applyBorder="1" applyAlignment="1">
      <alignment horizontal="center" vertical="center"/>
    </xf>
    <xf numFmtId="49" fontId="6" fillId="0" borderId="51" xfId="0" applyNumberFormat="1" applyFont="1" applyBorder="1" applyAlignment="1" applyProtection="1">
      <alignment horizontal="center" vertical="center"/>
      <protection locked="0"/>
    </xf>
    <xf numFmtId="49" fontId="6" fillId="0" borderId="14" xfId="0" applyNumberFormat="1" applyFont="1" applyBorder="1" applyAlignment="1" applyProtection="1">
      <alignment horizontal="center" vertical="center"/>
      <protection locked="0"/>
    </xf>
    <xf numFmtId="49" fontId="6" fillId="0" borderId="16" xfId="0" applyNumberFormat="1" applyFont="1" applyBorder="1" applyAlignment="1" applyProtection="1">
      <alignment horizontal="center" vertical="center"/>
      <protection locked="0"/>
    </xf>
    <xf numFmtId="49" fontId="6" fillId="0" borderId="15" xfId="0" applyNumberFormat="1" applyFont="1" applyBorder="1" applyAlignment="1" applyProtection="1">
      <alignment horizontal="center" vertical="center"/>
      <protection locked="0"/>
    </xf>
    <xf numFmtId="0" fontId="25" fillId="3" borderId="8" xfId="0" applyFont="1" applyFill="1" applyBorder="1" applyAlignment="1">
      <alignment horizontal="center" vertical="center" wrapText="1"/>
    </xf>
    <xf numFmtId="0" fontId="25" fillId="3" borderId="0" xfId="0" applyFont="1" applyFill="1" applyAlignment="1">
      <alignment horizontal="center" vertical="center" wrapText="1"/>
    </xf>
    <xf numFmtId="0" fontId="25" fillId="3" borderId="10" xfId="0" applyFont="1" applyFill="1" applyBorder="1" applyAlignment="1">
      <alignment horizontal="center" vertical="center" wrapText="1"/>
    </xf>
    <xf numFmtId="0" fontId="25" fillId="3" borderId="13" xfId="0" applyFont="1" applyFill="1" applyBorder="1" applyAlignment="1">
      <alignment horizontal="center" vertical="center" wrapText="1"/>
    </xf>
    <xf numFmtId="0" fontId="25" fillId="3" borderId="17"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19" xfId="0" applyFont="1" applyFill="1" applyBorder="1" applyAlignment="1">
      <alignment horizontal="center" vertical="center"/>
    </xf>
    <xf numFmtId="0" fontId="25" fillId="3" borderId="13"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54" xfId="0" applyFont="1" applyFill="1" applyBorder="1" applyAlignment="1">
      <alignment horizontal="center" vertical="center" wrapText="1"/>
    </xf>
    <xf numFmtId="0" fontId="4" fillId="3" borderId="49" xfId="0" applyFont="1" applyFill="1" applyBorder="1" applyAlignment="1">
      <alignment horizontal="center" vertical="center" wrapText="1"/>
    </xf>
    <xf numFmtId="0" fontId="4" fillId="3" borderId="50" xfId="0" applyFont="1" applyFill="1" applyBorder="1" applyAlignment="1">
      <alignment horizontal="center" vertical="center" wrapText="1"/>
    </xf>
    <xf numFmtId="0" fontId="26" fillId="3" borderId="7" xfId="0" applyFont="1" applyFill="1" applyBorder="1" applyAlignment="1">
      <alignment horizontal="center" vertical="center" wrapText="1"/>
    </xf>
    <xf numFmtId="0" fontId="26" fillId="3" borderId="8" xfId="0" applyFont="1" applyFill="1" applyBorder="1" applyAlignment="1">
      <alignment horizontal="center" vertical="center" wrapText="1"/>
    </xf>
    <xf numFmtId="0" fontId="26" fillId="3" borderId="0" xfId="0" applyFont="1" applyFill="1" applyAlignment="1">
      <alignment horizontal="center" vertical="center" wrapText="1"/>
    </xf>
    <xf numFmtId="0" fontId="26" fillId="3" borderId="10" xfId="0" applyFont="1" applyFill="1" applyBorder="1" applyAlignment="1">
      <alignment horizontal="center" vertical="center" wrapText="1"/>
    </xf>
    <xf numFmtId="0" fontId="26" fillId="3" borderId="12" xfId="0" applyFont="1" applyFill="1" applyBorder="1" applyAlignment="1">
      <alignment horizontal="center" vertical="center" wrapText="1"/>
    </xf>
    <xf numFmtId="0" fontId="26" fillId="3" borderId="13" xfId="0" applyFont="1" applyFill="1" applyBorder="1" applyAlignment="1">
      <alignment horizontal="center" vertical="center" wrapText="1"/>
    </xf>
    <xf numFmtId="0" fontId="25" fillId="3" borderId="12" xfId="0" applyFont="1" applyFill="1" applyBorder="1" applyAlignment="1">
      <alignment horizontal="center" vertical="center"/>
    </xf>
    <xf numFmtId="0" fontId="27" fillId="3" borderId="17" xfId="0" applyFont="1" applyFill="1" applyBorder="1" applyAlignment="1">
      <alignment horizontal="center" vertical="center" wrapText="1"/>
    </xf>
    <xf numFmtId="0" fontId="27" fillId="3" borderId="18"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9" xfId="0" applyFont="1" applyFill="1" applyBorder="1" applyAlignment="1">
      <alignment horizontal="center" vertical="center" wrapText="1"/>
    </xf>
    <xf numFmtId="49" fontId="6" fillId="0" borderId="51" xfId="0" applyNumberFormat="1" applyFont="1" applyBorder="1" applyAlignment="1">
      <alignment horizontal="center" vertical="center"/>
    </xf>
    <xf numFmtId="49" fontId="6" fillId="0" borderId="51" xfId="0" applyNumberFormat="1" applyFont="1" applyBorder="1" applyAlignment="1">
      <alignment horizontal="center" vertical="center" wrapText="1"/>
    </xf>
    <xf numFmtId="2" fontId="6" fillId="0" borderId="51" xfId="0" applyNumberFormat="1" applyFont="1" applyBorder="1" applyAlignment="1">
      <alignment horizontal="center" vertical="center"/>
    </xf>
    <xf numFmtId="0" fontId="6" fillId="0" borderId="16" xfId="0" applyFont="1" applyBorder="1" applyAlignment="1">
      <alignment horizontal="center" vertical="center"/>
    </xf>
    <xf numFmtId="0" fontId="6" fillId="0" borderId="65" xfId="0" applyFont="1" applyBorder="1" applyAlignment="1">
      <alignment horizontal="center" vertical="center"/>
    </xf>
    <xf numFmtId="49" fontId="6" fillId="0" borderId="62" xfId="0" applyNumberFormat="1" applyFont="1" applyBorder="1" applyAlignment="1" applyProtection="1">
      <alignment horizontal="center" vertical="center"/>
      <protection locked="0"/>
    </xf>
    <xf numFmtId="49" fontId="6" fillId="0" borderId="63" xfId="0" applyNumberFormat="1" applyFont="1" applyBorder="1" applyAlignment="1" applyProtection="1">
      <alignment horizontal="center" vertical="center"/>
      <protection locked="0"/>
    </xf>
    <xf numFmtId="49" fontId="6" fillId="0" borderId="64" xfId="0" applyNumberFormat="1" applyFont="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19" xfId="0" applyFont="1" applyBorder="1" applyAlignment="1">
      <alignment horizontal="center" vertical="center"/>
    </xf>
    <xf numFmtId="0" fontId="6" fillId="0" borderId="7" xfId="0" applyFont="1" applyBorder="1" applyAlignment="1">
      <alignment horizontal="center" vertical="center"/>
    </xf>
    <xf numFmtId="0" fontId="6" fillId="0" borderId="7" xfId="0" applyFont="1" applyBorder="1" applyAlignment="1">
      <alignment horizontal="left" vertical="center"/>
    </xf>
    <xf numFmtId="14" fontId="6" fillId="0" borderId="17" xfId="0" applyNumberFormat="1" applyFont="1" applyBorder="1" applyAlignment="1">
      <alignment horizontal="center" vertical="center"/>
    </xf>
    <xf numFmtId="14" fontId="6" fillId="0" borderId="18" xfId="0" applyNumberFormat="1" applyFont="1" applyBorder="1" applyAlignment="1">
      <alignment horizontal="center" vertical="center"/>
    </xf>
    <xf numFmtId="14" fontId="6" fillId="0" borderId="19" xfId="0" applyNumberFormat="1" applyFont="1" applyBorder="1" applyAlignment="1">
      <alignment horizontal="center" vertical="center"/>
    </xf>
    <xf numFmtId="0" fontId="6" fillId="0" borderId="19" xfId="0" applyFont="1" applyBorder="1" applyAlignment="1">
      <alignment horizontal="left" vertical="center"/>
    </xf>
    <xf numFmtId="0" fontId="5" fillId="0" borderId="17" xfId="0" applyFont="1" applyBorder="1" applyAlignment="1">
      <alignment horizontal="left"/>
    </xf>
    <xf numFmtId="0" fontId="5" fillId="0" borderId="18" xfId="0" applyFont="1" applyBorder="1" applyAlignment="1">
      <alignment horizontal="left"/>
    </xf>
    <xf numFmtId="0" fontId="5" fillId="0" borderId="19" xfId="0" applyFont="1" applyBorder="1" applyAlignment="1">
      <alignment horizontal="left"/>
    </xf>
    <xf numFmtId="0" fontId="8" fillId="0" borderId="17" xfId="0" applyFont="1" applyBorder="1" applyAlignment="1">
      <alignment horizontal="center"/>
    </xf>
    <xf numFmtId="0" fontId="8" fillId="0" borderId="18" xfId="0" applyFont="1" applyBorder="1" applyAlignment="1">
      <alignment horizontal="center"/>
    </xf>
    <xf numFmtId="0" fontId="8" fillId="0" borderId="57" xfId="0" applyFont="1" applyBorder="1" applyAlignment="1">
      <alignment horizontal="center"/>
    </xf>
    <xf numFmtId="0" fontId="6" fillId="0" borderId="27" xfId="0" applyFont="1" applyBorder="1" applyAlignment="1">
      <alignment horizontal="center" vertical="center"/>
    </xf>
    <xf numFmtId="0" fontId="6" fillId="0" borderId="29" xfId="0" applyFont="1" applyBorder="1" applyAlignment="1">
      <alignment horizontal="center" vertical="center"/>
    </xf>
    <xf numFmtId="0" fontId="6" fillId="0" borderId="28" xfId="0" applyFont="1" applyBorder="1" applyAlignment="1">
      <alignment horizontal="center" vertical="center"/>
    </xf>
    <xf numFmtId="0" fontId="6" fillId="0" borderId="27" xfId="0" applyFont="1" applyBorder="1" applyAlignment="1">
      <alignment horizontal="left" vertical="center"/>
    </xf>
    <xf numFmtId="0" fontId="6" fillId="0" borderId="28" xfId="0" applyFont="1" applyBorder="1" applyAlignment="1">
      <alignment horizontal="left" vertical="center"/>
    </xf>
    <xf numFmtId="0" fontId="6" fillId="0" borderId="29" xfId="0" applyFont="1" applyBorder="1" applyAlignment="1">
      <alignment horizontal="left" vertical="center"/>
    </xf>
    <xf numFmtId="0" fontId="5" fillId="0" borderId="17"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5" fillId="0" borderId="57" xfId="0" applyFont="1" applyBorder="1" applyAlignment="1">
      <alignment horizont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5" xfId="0" applyFont="1" applyBorder="1" applyAlignment="1">
      <alignment horizontal="center" vertical="center"/>
    </xf>
    <xf numFmtId="0" fontId="8" fillId="0" borderId="26" xfId="0" applyFont="1" applyBorder="1" applyAlignment="1">
      <alignment horizontal="center" vertical="center"/>
    </xf>
    <xf numFmtId="0" fontId="29" fillId="0" borderId="0" xfId="0" applyFont="1" applyAlignment="1">
      <alignment horizontal="center" vertical="center"/>
    </xf>
    <xf numFmtId="0" fontId="29" fillId="0" borderId="0" xfId="0" applyFont="1" applyAlignment="1">
      <alignment vertical="center"/>
    </xf>
    <xf numFmtId="0" fontId="6" fillId="0" borderId="51" xfId="0" applyFont="1" applyBorder="1" applyAlignment="1">
      <alignment horizontal="left" vertical="center" wrapText="1"/>
    </xf>
    <xf numFmtId="0" fontId="6" fillId="0" borderId="51" xfId="0" applyFont="1" applyBorder="1" applyAlignment="1">
      <alignment horizontal="left" vertical="center"/>
    </xf>
    <xf numFmtId="0" fontId="6" fillId="0" borderId="59" xfId="0" applyFont="1" applyBorder="1" applyAlignment="1">
      <alignment horizontal="left" vertical="center"/>
    </xf>
    <xf numFmtId="0" fontId="6" fillId="0" borderId="48" xfId="0" applyFont="1" applyBorder="1" applyAlignment="1">
      <alignment horizontal="left" vertical="center" wrapText="1"/>
    </xf>
    <xf numFmtId="0" fontId="6" fillId="0" borderId="48" xfId="0" applyFont="1" applyBorder="1" applyAlignment="1">
      <alignment horizontal="left" vertical="center"/>
    </xf>
    <xf numFmtId="0" fontId="6" fillId="0" borderId="55" xfId="0" applyFont="1" applyBorder="1" applyAlignment="1">
      <alignment horizontal="left" vertical="center"/>
    </xf>
    <xf numFmtId="0" fontId="6" fillId="0" borderId="66" xfId="0" applyFont="1" applyBorder="1" applyAlignment="1">
      <alignment horizontal="left" vertical="center" wrapText="1"/>
    </xf>
    <xf numFmtId="0" fontId="6" fillId="0" borderId="67" xfId="0" applyFont="1" applyBorder="1" applyAlignment="1">
      <alignment horizontal="left" vertical="center" wrapText="1"/>
    </xf>
    <xf numFmtId="0" fontId="6" fillId="0" borderId="68" xfId="0" applyFont="1" applyBorder="1" applyAlignment="1">
      <alignment horizontal="left" vertical="center" wrapText="1"/>
    </xf>
    <xf numFmtId="0" fontId="8" fillId="0" borderId="23" xfId="0" applyFont="1" applyBorder="1" applyAlignment="1">
      <alignment horizontal="center" vertical="center"/>
    </xf>
    <xf numFmtId="0" fontId="8" fillId="0" borderId="58" xfId="0" applyFont="1" applyBorder="1" applyAlignment="1">
      <alignment horizontal="center" vertical="center"/>
    </xf>
    <xf numFmtId="0" fontId="8" fillId="0" borderId="19" xfId="0" applyFont="1" applyBorder="1" applyAlignment="1">
      <alignment horizontal="center"/>
    </xf>
    <xf numFmtId="0" fontId="39" fillId="0" borderId="0" xfId="6" applyAlignment="1">
      <alignment horizontal="left" vertical="top" wrapText="1"/>
    </xf>
    <xf numFmtId="0" fontId="40" fillId="0" borderId="80" xfId="6" applyFont="1" applyBorder="1" applyAlignment="1">
      <alignment horizontal="left" vertical="top"/>
    </xf>
    <xf numFmtId="0" fontId="40" fillId="0" borderId="74" xfId="6" applyFont="1" applyBorder="1" applyAlignment="1">
      <alignment horizontal="center" vertical="center"/>
    </xf>
    <xf numFmtId="0" fontId="40" fillId="0" borderId="77" xfId="6" applyFont="1" applyBorder="1" applyAlignment="1">
      <alignment horizontal="center" vertical="center" wrapText="1"/>
    </xf>
    <xf numFmtId="0" fontId="40" fillId="0" borderId="83" xfId="6" applyFont="1" applyBorder="1" applyAlignment="1">
      <alignment horizontal="left" vertical="top"/>
    </xf>
    <xf numFmtId="0" fontId="45" fillId="0" borderId="76" xfId="4" applyFont="1" applyBorder="1" applyAlignment="1">
      <alignment horizontal="left" vertical="center" wrapText="1"/>
    </xf>
    <xf numFmtId="0" fontId="45" fillId="0" borderId="77" xfId="4" applyFont="1" applyBorder="1" applyAlignment="1">
      <alignment horizontal="left" vertical="center" wrapText="1"/>
    </xf>
    <xf numFmtId="0" fontId="45" fillId="0" borderId="77" xfId="6" applyFont="1" applyBorder="1" applyAlignment="1">
      <alignment horizontal="left" vertical="center" wrapText="1"/>
    </xf>
    <xf numFmtId="0" fontId="45" fillId="0" borderId="78" xfId="6" applyFont="1" applyBorder="1" applyAlignment="1">
      <alignment horizontal="left" vertical="center" wrapText="1"/>
    </xf>
    <xf numFmtId="0" fontId="46" fillId="0" borderId="9" xfId="6" applyFont="1" applyBorder="1" applyAlignment="1">
      <alignment horizontal="center" vertical="center" wrapText="1"/>
    </xf>
    <xf numFmtId="0" fontId="46" fillId="0" borderId="0" xfId="6" applyFont="1" applyAlignment="1">
      <alignment horizontal="center" vertical="center"/>
    </xf>
    <xf numFmtId="0" fontId="46" fillId="0" borderId="10" xfId="6" applyFont="1" applyBorder="1" applyAlignment="1">
      <alignment horizontal="center" vertical="center"/>
    </xf>
    <xf numFmtId="0" fontId="46" fillId="0" borderId="9" xfId="6" applyFont="1" applyBorder="1" applyAlignment="1">
      <alignment horizontal="center" vertical="center"/>
    </xf>
    <xf numFmtId="0" fontId="40" fillId="0" borderId="70" xfId="6" applyFont="1" applyBorder="1" applyAlignment="1">
      <alignment horizontal="left" vertical="top" wrapText="1"/>
    </xf>
    <xf numFmtId="0" fontId="40" fillId="0" borderId="71" xfId="6" applyFont="1" applyBorder="1" applyAlignment="1">
      <alignment horizontal="left" vertical="top" wrapText="1"/>
    </xf>
    <xf numFmtId="0" fontId="44" fillId="0" borderId="71" xfId="6" applyFont="1" applyBorder="1" applyAlignment="1">
      <alignment horizontal="center" vertical="center" wrapText="1"/>
    </xf>
    <xf numFmtId="0" fontId="40" fillId="0" borderId="72" xfId="6" applyFont="1" applyBorder="1" applyAlignment="1">
      <alignment horizontal="left" vertical="top" wrapText="1"/>
    </xf>
    <xf numFmtId="0" fontId="45" fillId="0" borderId="73" xfId="6" applyFont="1" applyBorder="1" applyAlignment="1">
      <alignment horizontal="left" vertical="center"/>
    </xf>
    <xf numFmtId="0" fontId="45" fillId="0" borderId="74" xfId="6" applyFont="1" applyBorder="1" applyAlignment="1">
      <alignment horizontal="left" vertical="center"/>
    </xf>
    <xf numFmtId="0" fontId="45" fillId="0" borderId="74" xfId="6" applyFont="1" applyBorder="1" applyAlignment="1">
      <alignment horizontal="left" vertical="top"/>
    </xf>
    <xf numFmtId="0" fontId="45" fillId="0" borderId="75" xfId="6" applyFont="1" applyBorder="1" applyAlignment="1">
      <alignment horizontal="left" vertical="top"/>
    </xf>
    <xf numFmtId="49" fontId="6" fillId="4" borderId="17" xfId="0" applyNumberFormat="1" applyFont="1" applyFill="1" applyBorder="1" applyAlignment="1" applyProtection="1">
      <alignment horizontal="center" vertical="center"/>
      <protection locked="0"/>
    </xf>
    <xf numFmtId="49" fontId="6" fillId="4" borderId="18" xfId="0" applyNumberFormat="1" applyFont="1" applyFill="1" applyBorder="1" applyAlignment="1" applyProtection="1">
      <alignment horizontal="center" vertical="center"/>
      <protection locked="0"/>
    </xf>
    <xf numFmtId="49" fontId="6" fillId="4" borderId="19" xfId="0" applyNumberFormat="1" applyFont="1" applyFill="1" applyBorder="1" applyAlignment="1" applyProtection="1">
      <alignment horizontal="center" vertical="center"/>
      <protection locked="0"/>
    </xf>
    <xf numFmtId="49" fontId="6" fillId="4" borderId="11" xfId="0" applyNumberFormat="1" applyFont="1" applyFill="1" applyBorder="1" applyAlignment="1" applyProtection="1">
      <alignment horizontal="center" vertical="center"/>
      <protection locked="0"/>
    </xf>
    <xf numFmtId="49" fontId="6" fillId="4" borderId="12" xfId="0" applyNumberFormat="1" applyFont="1" applyFill="1" applyBorder="1" applyAlignment="1" applyProtection="1">
      <alignment horizontal="center" vertical="center"/>
      <protection locked="0"/>
    </xf>
    <xf numFmtId="49" fontId="6" fillId="4" borderId="13" xfId="0" applyNumberFormat="1" applyFont="1" applyFill="1" applyBorder="1" applyAlignment="1" applyProtection="1">
      <alignment horizontal="center" vertical="center"/>
      <protection locked="0"/>
    </xf>
    <xf numFmtId="0" fontId="6" fillId="4" borderId="17"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19" xfId="0" applyFont="1" applyFill="1" applyBorder="1" applyAlignment="1">
      <alignment horizontal="center" vertical="center"/>
    </xf>
    <xf numFmtId="0" fontId="6" fillId="0" borderId="17" xfId="0" applyFont="1" applyBorder="1" applyAlignment="1">
      <alignment horizontal="left" vertical="center" wrapText="1"/>
    </xf>
    <xf numFmtId="0" fontId="6" fillId="0" borderId="18" xfId="0" applyFont="1" applyBorder="1" applyAlignment="1">
      <alignment horizontal="left" vertical="center" wrapText="1"/>
    </xf>
    <xf numFmtId="0" fontId="6" fillId="0" borderId="19" xfId="0" applyFont="1" applyBorder="1" applyAlignment="1">
      <alignment horizontal="left"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7" xfId="0" quotePrefix="1" applyFont="1" applyBorder="1" applyAlignment="1">
      <alignment horizontal="center" vertical="center"/>
    </xf>
    <xf numFmtId="49" fontId="6" fillId="0" borderId="6" xfId="0" applyNumberFormat="1" applyFont="1" applyBorder="1" applyAlignment="1">
      <alignment horizontal="center" vertical="center"/>
    </xf>
    <xf numFmtId="49" fontId="6" fillId="0" borderId="7" xfId="0" applyNumberFormat="1" applyFont="1" applyBorder="1" applyAlignment="1">
      <alignment horizontal="center" vertical="center"/>
    </xf>
    <xf numFmtId="49" fontId="6" fillId="0" borderId="8" xfId="0" applyNumberFormat="1" applyFont="1" applyBorder="1" applyAlignment="1">
      <alignment horizontal="center" vertical="center"/>
    </xf>
    <xf numFmtId="165" fontId="6" fillId="4" borderId="11" xfId="0" applyNumberFormat="1" applyFont="1" applyFill="1" applyBorder="1" applyAlignment="1">
      <alignment horizontal="center" vertical="center"/>
    </xf>
    <xf numFmtId="165" fontId="6" fillId="4" borderId="12" xfId="0" applyNumberFormat="1" applyFont="1" applyFill="1" applyBorder="1" applyAlignment="1">
      <alignment horizontal="center" vertical="center"/>
    </xf>
    <xf numFmtId="165" fontId="6" fillId="4" borderId="13" xfId="0" applyNumberFormat="1" applyFont="1" applyFill="1" applyBorder="1" applyAlignment="1">
      <alignment horizontal="center" vertical="center"/>
    </xf>
    <xf numFmtId="1" fontId="6" fillId="4" borderId="17" xfId="0" applyNumberFormat="1" applyFont="1" applyFill="1" applyBorder="1" applyAlignment="1">
      <alignment horizontal="center" vertical="center"/>
    </xf>
    <xf numFmtId="1" fontId="6" fillId="4" borderId="19" xfId="0" applyNumberFormat="1" applyFont="1" applyFill="1" applyBorder="1" applyAlignment="1">
      <alignment horizontal="center" vertical="center"/>
    </xf>
    <xf numFmtId="1" fontId="6" fillId="4" borderId="11" xfId="0" applyNumberFormat="1" applyFont="1" applyFill="1" applyBorder="1" applyAlignment="1">
      <alignment horizontal="center" vertical="center"/>
    </xf>
    <xf numFmtId="1" fontId="6" fillId="4" borderId="13" xfId="0" applyNumberFormat="1" applyFont="1" applyFill="1" applyBorder="1" applyAlignment="1">
      <alignment horizontal="center" vertical="center"/>
    </xf>
    <xf numFmtId="49" fontId="6" fillId="0" borderId="17"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19" xfId="0" applyNumberFormat="1" applyFont="1" applyBorder="1" applyAlignment="1">
      <alignment horizontal="center" vertical="center"/>
    </xf>
    <xf numFmtId="49" fontId="6" fillId="0" borderId="17" xfId="0" applyNumberFormat="1" applyFont="1" applyBorder="1" applyAlignment="1" applyProtection="1">
      <alignment horizontal="center" vertical="center" wrapText="1"/>
      <protection locked="0"/>
    </xf>
    <xf numFmtId="49" fontId="6" fillId="0" borderId="19" xfId="0" applyNumberFormat="1" applyFont="1" applyBorder="1" applyAlignment="1" applyProtection="1">
      <alignment horizontal="center" vertical="center" wrapText="1"/>
      <protection locked="0"/>
    </xf>
    <xf numFmtId="0" fontId="4" fillId="0" borderId="0" xfId="0" applyFont="1" applyAlignment="1">
      <alignment horizontal="left"/>
    </xf>
    <xf numFmtId="0" fontId="8" fillId="4" borderId="0" xfId="0" applyFont="1" applyFill="1" applyAlignment="1">
      <alignment horizontal="center" vertical="center"/>
    </xf>
    <xf numFmtId="2" fontId="6" fillId="0" borderId="17" xfId="0" applyNumberFormat="1" applyFont="1" applyBorder="1" applyAlignment="1">
      <alignment horizontal="center" vertical="center"/>
    </xf>
    <xf numFmtId="2" fontId="6" fillId="0" borderId="18" xfId="0" applyNumberFormat="1" applyFont="1" applyBorder="1" applyAlignment="1">
      <alignment horizontal="center" vertical="center"/>
    </xf>
    <xf numFmtId="2" fontId="6" fillId="0" borderId="19" xfId="0" applyNumberFormat="1" applyFont="1" applyBorder="1" applyAlignment="1">
      <alignment horizontal="center" vertical="center"/>
    </xf>
    <xf numFmtId="1" fontId="6" fillId="0" borderId="17" xfId="0" applyNumberFormat="1" applyFont="1" applyBorder="1" applyAlignment="1">
      <alignment horizontal="center" vertical="center"/>
    </xf>
    <xf numFmtId="1" fontId="6" fillId="0" borderId="19" xfId="0" applyNumberFormat="1"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6" fillId="0" borderId="6" xfId="0" quotePrefix="1" applyFont="1" applyBorder="1" applyAlignment="1">
      <alignment horizontal="center" vertical="center"/>
    </xf>
    <xf numFmtId="14" fontId="6" fillId="0" borderId="0" xfId="0" applyNumberFormat="1" applyFont="1" applyAlignment="1">
      <alignment horizontal="center" vertical="center"/>
    </xf>
    <xf numFmtId="0" fontId="4" fillId="0" borderId="0" xfId="0" applyFont="1" applyAlignment="1">
      <alignment horizontal="center"/>
    </xf>
    <xf numFmtId="0" fontId="6" fillId="3" borderId="18"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6" fillId="3" borderId="17"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19" xfId="0" applyFont="1" applyFill="1" applyBorder="1" applyAlignment="1">
      <alignment horizontal="center" vertical="center"/>
    </xf>
    <xf numFmtId="2" fontId="6" fillId="3" borderId="17" xfId="0" applyNumberFormat="1" applyFont="1" applyFill="1" applyBorder="1" applyAlignment="1">
      <alignment horizontal="center" vertical="center"/>
    </xf>
    <xf numFmtId="2" fontId="6" fillId="3" borderId="18" xfId="0" applyNumberFormat="1" applyFont="1" applyFill="1" applyBorder="1" applyAlignment="1">
      <alignment horizontal="center" vertical="center"/>
    </xf>
    <xf numFmtId="2" fontId="6" fillId="3" borderId="19" xfId="0" applyNumberFormat="1" applyFont="1" applyFill="1" applyBorder="1" applyAlignment="1">
      <alignment horizontal="center" vertical="center"/>
    </xf>
    <xf numFmtId="0" fontId="6" fillId="3" borderId="17" xfId="0" quotePrefix="1" applyFont="1" applyFill="1" applyBorder="1" applyAlignment="1">
      <alignment horizontal="center" vertical="center"/>
    </xf>
    <xf numFmtId="0" fontId="8" fillId="0" borderId="0" xfId="0" applyFont="1" applyAlignment="1">
      <alignment horizontal="center"/>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11" xfId="0" quotePrefix="1"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49" fontId="6" fillId="0" borderId="11" xfId="0" applyNumberFormat="1" applyFont="1" applyBorder="1" applyAlignment="1" applyProtection="1">
      <alignment horizontal="center" vertical="center" wrapText="1"/>
      <protection locked="0"/>
    </xf>
    <xf numFmtId="49" fontId="6" fillId="0" borderId="13" xfId="0" applyNumberFormat="1" applyFont="1" applyBorder="1" applyAlignment="1" applyProtection="1">
      <alignment horizontal="center" vertical="center" wrapText="1"/>
      <protection locked="0"/>
    </xf>
    <xf numFmtId="0" fontId="6" fillId="0" borderId="11" xfId="0" applyFont="1" applyBorder="1" applyAlignment="1">
      <alignment horizontal="center" vertical="center"/>
    </xf>
    <xf numFmtId="49" fontId="6" fillId="0" borderId="6" xfId="0" applyNumberFormat="1" applyFont="1" applyBorder="1" applyAlignment="1" applyProtection="1">
      <alignment horizontal="center" vertical="center" wrapText="1"/>
      <protection locked="0"/>
    </xf>
    <xf numFmtId="49" fontId="6" fillId="0" borderId="8" xfId="0" applyNumberFormat="1" applyFont="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49" fontId="6" fillId="4" borderId="6" xfId="0" applyNumberFormat="1" applyFont="1" applyFill="1" applyBorder="1" applyAlignment="1" applyProtection="1">
      <alignment horizontal="center" vertical="center"/>
      <protection locked="0"/>
    </xf>
    <xf numFmtId="49" fontId="6" fillId="4" borderId="7" xfId="0" applyNumberFormat="1" applyFont="1" applyFill="1" applyBorder="1" applyAlignment="1" applyProtection="1">
      <alignment horizontal="center" vertical="center"/>
      <protection locked="0"/>
    </xf>
    <xf numFmtId="49" fontId="6" fillId="4" borderId="8" xfId="0" applyNumberFormat="1" applyFont="1" applyFill="1" applyBorder="1" applyAlignment="1" applyProtection="1">
      <alignment horizontal="center" vertical="center"/>
      <protection locked="0"/>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2" fontId="6" fillId="4" borderId="11" xfId="0" applyNumberFormat="1" applyFont="1" applyFill="1" applyBorder="1" applyAlignment="1">
      <alignment horizontal="center" vertical="center"/>
    </xf>
    <xf numFmtId="2" fontId="6" fillId="4" borderId="12" xfId="0" applyNumberFormat="1" applyFont="1" applyFill="1" applyBorder="1" applyAlignment="1">
      <alignment horizontal="center" vertical="center"/>
    </xf>
    <xf numFmtId="2" fontId="6" fillId="4" borderId="13" xfId="0" applyNumberFormat="1" applyFont="1" applyFill="1" applyBorder="1" applyAlignment="1">
      <alignment horizontal="center" vertical="center"/>
    </xf>
    <xf numFmtId="17" fontId="6" fillId="4" borderId="11" xfId="0" quotePrefix="1" applyNumberFormat="1" applyFont="1" applyFill="1" applyBorder="1" applyAlignment="1">
      <alignment horizontal="center" vertical="center"/>
    </xf>
    <xf numFmtId="0" fontId="6" fillId="4" borderId="13" xfId="0" applyFont="1" applyFill="1" applyBorder="1" applyAlignment="1">
      <alignment horizontal="center" vertical="center"/>
    </xf>
    <xf numFmtId="49" fontId="6" fillId="0" borderId="11"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1" fontId="6" fillId="0" borderId="6" xfId="0" applyNumberFormat="1" applyFont="1" applyBorder="1" applyAlignment="1">
      <alignment horizontal="center" vertical="center"/>
    </xf>
    <xf numFmtId="1" fontId="6" fillId="0" borderId="8" xfId="0" applyNumberFormat="1" applyFont="1" applyBorder="1" applyAlignment="1">
      <alignment horizontal="center" vertical="center"/>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27" fillId="4" borderId="0" xfId="0" applyFont="1" applyFill="1" applyAlignment="1">
      <alignment horizontal="center"/>
    </xf>
    <xf numFmtId="164" fontId="6" fillId="0" borderId="0" xfId="0" applyNumberFormat="1" applyFont="1" applyAlignment="1">
      <alignment horizontal="center" vertical="center"/>
    </xf>
    <xf numFmtId="0" fontId="43" fillId="4" borderId="0" xfId="0" applyFont="1" applyFill="1" applyAlignment="1">
      <alignment horizontal="center" vertical="center"/>
    </xf>
    <xf numFmtId="0" fontId="43" fillId="0" borderId="0" xfId="0" applyFont="1" applyAlignment="1">
      <alignment horizontal="center" vertical="center"/>
    </xf>
    <xf numFmtId="0" fontId="8" fillId="0" borderId="0" xfId="0" applyFont="1" applyAlignment="1">
      <alignment horizontal="center" vertical="center"/>
    </xf>
    <xf numFmtId="1" fontId="8" fillId="0" borderId="6" xfId="0" applyNumberFormat="1" applyFont="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13" xfId="0" applyFont="1" applyFill="1" applyBorder="1" applyAlignment="1">
      <alignment horizontal="center" vertical="center"/>
    </xf>
    <xf numFmtId="0" fontId="6" fillId="0" borderId="8" xfId="0" applyFont="1" applyBorder="1" applyAlignment="1">
      <alignment vertical="center"/>
    </xf>
    <xf numFmtId="0" fontId="6" fillId="0" borderId="19" xfId="0" applyFont="1" applyBorder="1" applyAlignment="1">
      <alignment vertical="center"/>
    </xf>
    <xf numFmtId="0" fontId="6" fillId="0" borderId="8" xfId="0" applyFont="1" applyBorder="1" applyAlignment="1">
      <alignment horizontal="center"/>
    </xf>
    <xf numFmtId="0" fontId="6" fillId="0" borderId="10" xfId="0" applyFont="1" applyBorder="1" applyAlignment="1">
      <alignment horizontal="center"/>
    </xf>
    <xf numFmtId="0" fontId="6" fillId="0" borderId="13" xfId="0" applyFont="1" applyBorder="1" applyAlignment="1">
      <alignment horizontal="center"/>
    </xf>
    <xf numFmtId="0" fontId="26" fillId="0" borderId="19" xfId="0" applyFont="1" applyBorder="1" applyAlignment="1">
      <alignment horizontal="left" vertical="center"/>
    </xf>
    <xf numFmtId="0" fontId="27" fillId="0" borderId="19" xfId="0" applyFont="1" applyBorder="1" applyAlignment="1">
      <alignment horizontal="left"/>
    </xf>
    <xf numFmtId="0" fontId="6" fillId="0" borderId="17" xfId="0" applyFont="1" applyBorder="1" applyAlignment="1" applyProtection="1">
      <alignment horizontal="center" vertical="center" wrapText="1"/>
      <protection locked="0"/>
    </xf>
    <xf numFmtId="0" fontId="6" fillId="0" borderId="19" xfId="0" applyFont="1" applyBorder="1" applyAlignment="1" applyProtection="1">
      <alignment horizontal="center" vertical="center" wrapText="1"/>
      <protection locked="0"/>
    </xf>
    <xf numFmtId="49" fontId="6" fillId="4" borderId="17" xfId="0" applyNumberFormat="1" applyFont="1" applyFill="1" applyBorder="1" applyAlignment="1">
      <alignment horizontal="center" vertical="center"/>
    </xf>
    <xf numFmtId="49" fontId="6" fillId="4" borderId="18" xfId="0" applyNumberFormat="1" applyFont="1" applyFill="1" applyBorder="1" applyAlignment="1">
      <alignment horizontal="center" vertical="center"/>
    </xf>
    <xf numFmtId="49" fontId="6" fillId="4" borderId="19" xfId="0" applyNumberFormat="1" applyFont="1" applyFill="1" applyBorder="1" applyAlignment="1">
      <alignment horizontal="center" vertical="center"/>
    </xf>
    <xf numFmtId="49" fontId="6" fillId="4" borderId="17" xfId="0" applyNumberFormat="1" applyFont="1" applyFill="1" applyBorder="1" applyAlignment="1" applyProtection="1">
      <alignment horizontal="center" vertical="center" wrapText="1"/>
      <protection locked="0"/>
    </xf>
    <xf numFmtId="49" fontId="6" fillId="4" borderId="18" xfId="0" applyNumberFormat="1" applyFont="1" applyFill="1" applyBorder="1" applyAlignment="1" applyProtection="1">
      <alignment horizontal="center" vertical="center" wrapText="1"/>
      <protection locked="0"/>
    </xf>
    <xf numFmtId="49" fontId="6" fillId="4" borderId="19" xfId="0" applyNumberFormat="1" applyFont="1" applyFill="1" applyBorder="1" applyAlignment="1" applyProtection="1">
      <alignment horizontal="center" vertical="center" wrapText="1"/>
      <protection locked="0"/>
    </xf>
    <xf numFmtId="49" fontId="6" fillId="4" borderId="11" xfId="0" applyNumberFormat="1" applyFont="1" applyFill="1" applyBorder="1" applyAlignment="1">
      <alignment horizontal="center" vertical="center"/>
    </xf>
    <xf numFmtId="49" fontId="6" fillId="4" borderId="12" xfId="0" applyNumberFormat="1" applyFont="1" applyFill="1" applyBorder="1" applyAlignment="1">
      <alignment horizontal="center" vertical="center"/>
    </xf>
    <xf numFmtId="49" fontId="6" fillId="4" borderId="13" xfId="0" applyNumberFormat="1" applyFont="1" applyFill="1" applyBorder="1" applyAlignment="1">
      <alignment horizontal="center" vertical="center"/>
    </xf>
    <xf numFmtId="49" fontId="6" fillId="4" borderId="11" xfId="0" applyNumberFormat="1" applyFont="1" applyFill="1" applyBorder="1" applyAlignment="1" applyProtection="1">
      <alignment horizontal="center" vertical="center" wrapText="1"/>
      <protection locked="0"/>
    </xf>
    <xf numFmtId="49" fontId="6" fillId="4" borderId="12" xfId="0" applyNumberFormat="1" applyFont="1" applyFill="1" applyBorder="1" applyAlignment="1" applyProtection="1">
      <alignment horizontal="center" vertical="center" wrapText="1"/>
      <protection locked="0"/>
    </xf>
    <xf numFmtId="49" fontId="6" fillId="4" borderId="13" xfId="0" applyNumberFormat="1" applyFont="1" applyFill="1" applyBorder="1" applyAlignment="1" applyProtection="1">
      <alignment horizontal="center" vertical="center" wrapText="1"/>
      <protection locked="0"/>
    </xf>
    <xf numFmtId="0" fontId="24" fillId="2" borderId="8" xfId="0" applyFont="1" applyFill="1" applyBorder="1" applyAlignment="1">
      <alignment horizontal="center" vertical="center"/>
    </xf>
    <xf numFmtId="0" fontId="24" fillId="2" borderId="13" xfId="0" applyFont="1" applyFill="1" applyBorder="1" applyAlignment="1">
      <alignment horizontal="center" vertical="center"/>
    </xf>
    <xf numFmtId="0" fontId="27" fillId="3" borderId="19" xfId="0" applyFont="1" applyFill="1" applyBorder="1" applyAlignment="1">
      <alignment horizontal="center" vertical="center" wrapText="1"/>
    </xf>
    <xf numFmtId="0" fontId="25" fillId="3" borderId="7" xfId="0" applyFont="1" applyFill="1" applyBorder="1" applyAlignment="1">
      <alignment horizontal="center" vertical="center"/>
    </xf>
    <xf numFmtId="0" fontId="25" fillId="3" borderId="8" xfId="0" applyFont="1" applyFill="1" applyBorder="1" applyAlignment="1">
      <alignment horizontal="center" vertical="center"/>
    </xf>
    <xf numFmtId="49" fontId="6" fillId="3" borderId="17" xfId="0" applyNumberFormat="1" applyFont="1" applyFill="1" applyBorder="1" applyAlignment="1" applyProtection="1">
      <alignment horizontal="center" vertical="center" wrapText="1"/>
      <protection locked="0"/>
    </xf>
    <xf numFmtId="49" fontId="6" fillId="3" borderId="19" xfId="0" applyNumberFormat="1" applyFont="1" applyFill="1" applyBorder="1" applyAlignment="1" applyProtection="1">
      <alignment horizontal="center" vertical="center" wrapText="1"/>
      <protection locked="0"/>
    </xf>
  </cellXfs>
  <cellStyles count="7">
    <cellStyle name="Normal" xfId="0" builtinId="0"/>
    <cellStyle name="Normal 2" xfId="4" xr:uid="{8CF14294-AE20-4A08-B4A4-21EF98D18256}"/>
    <cellStyle name="Normal 2 2" xfId="5" xr:uid="{86DF8C51-C153-427B-950D-E4A1A8D1D3C2}"/>
    <cellStyle name="Normal 4" xfId="6" xr:uid="{0122B19A-F886-48CF-88EE-56174FAD9D1A}"/>
    <cellStyle name="Normal_1.Official_Coversheet_for_EP_Projects_excel_files(1)" xfId="1" xr:uid="{00000000-0005-0000-0000-000001000000}"/>
    <cellStyle name="Normal_Eqpt. List-Utility-274346 Rev.4" xfId="2" xr:uid="{00000000-0005-0000-0000-000002000000}"/>
    <cellStyle name="Normal_Utility Eqpt  List-Shell-NTCB-293648 Rev.03R (20-01-12 )" xfId="3" xr:uid="{00000000-0005-0000-0000-00000300000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externalLink" Target="externalLinks/externalLink2.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microsoft.com/office/2017/06/relationships/rdRichValueTypes" Target="richData/rdRichValueTypes.xml"/><Relationship Id="rId27" Type="http://schemas.openxmlformats.org/officeDocument/2006/relationships/customXml" Target="../customXml/item4.xml"/></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cid:image001.png@01DD1AB1.466FF9A0" TargetMode="External"/><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3</xdr:col>
      <xdr:colOff>198120</xdr:colOff>
      <xdr:row>1</xdr:row>
      <xdr:rowOff>38100</xdr:rowOff>
    </xdr:from>
    <xdr:ext cx="203033" cy="398186"/>
    <xdr:sp macro="" textlink="">
      <xdr:nvSpPr>
        <xdr:cNvPr id="2" name="Rectangle 100">
          <a:extLst>
            <a:ext uri="{FF2B5EF4-FFF2-40B4-BE49-F238E27FC236}">
              <a16:creationId xmlns:a16="http://schemas.microsoft.com/office/drawing/2014/main" id="{14104B15-6F1D-4026-A978-AA62A5968942}"/>
            </a:ext>
          </a:extLst>
        </xdr:cNvPr>
        <xdr:cNvSpPr>
          <a:spLocks noChangeArrowheads="1"/>
        </xdr:cNvSpPr>
      </xdr:nvSpPr>
      <xdr:spPr bwMode="auto">
        <a:xfrm>
          <a:off x="2026920" y="228600"/>
          <a:ext cx="203033" cy="398186"/>
        </a:xfrm>
        <a:prstGeom prst="rect">
          <a:avLst/>
        </a:prstGeom>
        <a:noFill/>
        <a:ln w="9525">
          <a:noFill/>
          <a:miter lim="800000"/>
          <a:headEnd/>
          <a:tailEnd/>
        </a:ln>
      </xdr:spPr>
      <xdr:txBody>
        <a:bodyPr wrap="square" lIns="0" tIns="0" rIns="0" bIns="0" anchor="t" upright="1">
          <a:spAutoFit/>
        </a:bodyPr>
        <a:lstStyle/>
        <a:p>
          <a:pPr algn="l" rtl="0">
            <a:defRPr sz="1000"/>
          </a:pPr>
          <a:r>
            <a:rPr lang="en-US" sz="1700" b="1" i="0" u="none" strike="noStrike" baseline="0">
              <a:solidFill>
                <a:srgbClr val="333399"/>
              </a:solidFill>
              <a:latin typeface="Futura Bold"/>
            </a:rPr>
            <a:t> </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oneCellAnchor>
  <xdr:oneCellAnchor>
    <xdr:from>
      <xdr:col>4</xdr:col>
      <xdr:colOff>142875</xdr:colOff>
      <xdr:row>1</xdr:row>
      <xdr:rowOff>0</xdr:rowOff>
    </xdr:from>
    <xdr:ext cx="60594" cy="398186"/>
    <xdr:sp macro="" textlink="">
      <xdr:nvSpPr>
        <xdr:cNvPr id="3" name="Rectangle 101">
          <a:extLst>
            <a:ext uri="{FF2B5EF4-FFF2-40B4-BE49-F238E27FC236}">
              <a16:creationId xmlns:a16="http://schemas.microsoft.com/office/drawing/2014/main" id="{0DDB843D-A3BD-483F-84A8-00AD78EFB694}"/>
            </a:ext>
          </a:extLst>
        </xdr:cNvPr>
        <xdr:cNvSpPr>
          <a:spLocks noChangeArrowheads="1"/>
        </xdr:cNvSpPr>
      </xdr:nvSpPr>
      <xdr:spPr bwMode="auto">
        <a:xfrm>
          <a:off x="2581275" y="190500"/>
          <a:ext cx="60594" cy="398186"/>
        </a:xfrm>
        <a:prstGeom prst="rect">
          <a:avLst/>
        </a:prstGeom>
        <a:noFill/>
        <a:ln w="9525">
          <a:noFill/>
          <a:miter lim="800000"/>
          <a:headEnd/>
          <a:tailEnd/>
        </a:ln>
      </xdr:spPr>
      <xdr:txBody>
        <a:bodyPr wrap="none" lIns="0" tIns="0" rIns="0" bIns="0" anchor="t" upright="1">
          <a:spAutoFit/>
        </a:bodyPr>
        <a:lstStyle/>
        <a:p>
          <a:pPr algn="l" rtl="0">
            <a:defRPr sz="1000"/>
          </a:pPr>
          <a:r>
            <a:rPr lang="en-US" sz="1700" b="1" i="0" u="none" strike="noStrike" baseline="0">
              <a:solidFill>
                <a:srgbClr val="333399"/>
              </a:solidFill>
              <a:latin typeface="Futura Bold"/>
            </a:rPr>
            <a:t> </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19</xdr:col>
      <xdr:colOff>212912</xdr:colOff>
      <xdr:row>0</xdr:row>
      <xdr:rowOff>168089</xdr:rowOff>
    </xdr:from>
    <xdr:ext cx="924328" cy="818030"/>
    <xdr:pic>
      <xdr:nvPicPr>
        <xdr:cNvPr id="2" name="Picture 1">
          <a:extLst>
            <a:ext uri="{FF2B5EF4-FFF2-40B4-BE49-F238E27FC236}">
              <a16:creationId xmlns:a16="http://schemas.microsoft.com/office/drawing/2014/main" id="{3323B1D7-3C76-4A6A-9683-4EBBC52317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1147" y="168089"/>
          <a:ext cx="924328" cy="81803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101720</xdr:colOff>
      <xdr:row>36</xdr:row>
      <xdr:rowOff>100086</xdr:rowOff>
    </xdr:from>
    <xdr:to>
      <xdr:col>10</xdr:col>
      <xdr:colOff>145470</xdr:colOff>
      <xdr:row>38</xdr:row>
      <xdr:rowOff>79623</xdr:rowOff>
    </xdr:to>
    <xdr:pic>
      <xdr:nvPicPr>
        <xdr:cNvPr id="4" name="Picture 3">
          <a:extLst>
            <a:ext uri="{FF2B5EF4-FFF2-40B4-BE49-F238E27FC236}">
              <a16:creationId xmlns:a16="http://schemas.microsoft.com/office/drawing/2014/main" id="{A6D43316-E79B-4263-919E-A2E73549432B}"/>
            </a:ext>
            <a:ext uri="{147F2762-F138-4A5C-976F-8EAC2B608ADB}">
              <a16:predDERef xmlns:a16="http://schemas.microsoft.com/office/drawing/2014/main" pred="{83572445-6483-4226-BAEF-FF3505B1011F}"/>
            </a:ext>
          </a:extLst>
        </xdr:cNvPr>
        <xdr:cNvPicPr>
          <a:picLocks noChangeAspect="1"/>
        </xdr:cNvPicPr>
      </xdr:nvPicPr>
      <xdr:blipFill>
        <a:blip xmlns:r="http://schemas.openxmlformats.org/officeDocument/2006/relationships" r:embed="rId1"/>
        <a:stretch>
          <a:fillRect/>
        </a:stretch>
      </xdr:blipFill>
      <xdr:spPr>
        <a:xfrm>
          <a:off x="101720" y="10101336"/>
          <a:ext cx="1663000" cy="320774"/>
        </a:xfrm>
        <a:prstGeom prst="rect">
          <a:avLst/>
        </a:prstGeom>
      </xdr:spPr>
    </xdr:pic>
    <xdr:clientData/>
  </xdr:twoCellAnchor>
  <xdr:twoCellAnchor editAs="oneCell">
    <xdr:from>
      <xdr:col>19</xdr:col>
      <xdr:colOff>57979</xdr:colOff>
      <xdr:row>37</xdr:row>
      <xdr:rowOff>91110</xdr:rowOff>
    </xdr:from>
    <xdr:to>
      <xdr:col>26</xdr:col>
      <xdr:colOff>28217</xdr:colOff>
      <xdr:row>40</xdr:row>
      <xdr:rowOff>66261</xdr:rowOff>
    </xdr:to>
    <xdr:pic>
      <xdr:nvPicPr>
        <xdr:cNvPr id="3" name="Picture 2">
          <a:extLst>
            <a:ext uri="{FF2B5EF4-FFF2-40B4-BE49-F238E27FC236}">
              <a16:creationId xmlns:a16="http://schemas.microsoft.com/office/drawing/2014/main" id="{D4E5100B-C7D2-B9F5-D6B3-7C4657CCFA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05370" y="9972262"/>
          <a:ext cx="1129804" cy="4721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257175</xdr:colOff>
      <xdr:row>1</xdr:row>
      <xdr:rowOff>133350</xdr:rowOff>
    </xdr:from>
    <xdr:ext cx="1804416" cy="557783"/>
    <xdr:pic>
      <xdr:nvPicPr>
        <xdr:cNvPr id="2" name="Picture ">
          <a:extLst>
            <a:ext uri="{FF2B5EF4-FFF2-40B4-BE49-F238E27FC236}">
              <a16:creationId xmlns:a16="http://schemas.microsoft.com/office/drawing/2014/main" id="{6B145FFF-0E1E-4999-83D9-916B369377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228600"/>
          <a:ext cx="1804416" cy="557783"/>
        </a:xfrm>
        <a:prstGeom prst="rect">
          <a:avLst/>
        </a:prstGeom>
      </xdr:spPr>
    </xdr:pic>
    <xdr:clientData/>
  </xdr:oneCellAnchor>
  <xdr:twoCellAnchor editAs="oneCell">
    <xdr:from>
      <xdr:col>6</xdr:col>
      <xdr:colOff>142875</xdr:colOff>
      <xdr:row>1</xdr:row>
      <xdr:rowOff>285750</xdr:rowOff>
    </xdr:from>
    <xdr:to>
      <xdr:col>7</xdr:col>
      <xdr:colOff>713254</xdr:colOff>
      <xdr:row>1</xdr:row>
      <xdr:rowOff>581025</xdr:rowOff>
    </xdr:to>
    <xdr:pic>
      <xdr:nvPicPr>
        <xdr:cNvPr id="3" name="Picture 2" descr="ELANTAS Logo">
          <a:extLst>
            <a:ext uri="{FF2B5EF4-FFF2-40B4-BE49-F238E27FC236}">
              <a16:creationId xmlns:a16="http://schemas.microsoft.com/office/drawing/2014/main" id="{E97816FA-CFF1-4F73-9318-1CE0CDE546BC}"/>
            </a:ext>
          </a:extLst>
        </xdr:cNvPr>
        <xdr:cNvPicPr>
          <a:picLocks noChangeAspect="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5981700" y="381000"/>
          <a:ext cx="1427629" cy="2952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6469</xdr:colOff>
      <xdr:row>70</xdr:row>
      <xdr:rowOff>127300</xdr:rowOff>
    </xdr:from>
    <xdr:to>
      <xdr:col>8</xdr:col>
      <xdr:colOff>102496</xdr:colOff>
      <xdr:row>72</xdr:row>
      <xdr:rowOff>106840</xdr:rowOff>
    </xdr:to>
    <xdr:pic>
      <xdr:nvPicPr>
        <xdr:cNvPr id="2" name="Picture 1">
          <a:extLst>
            <a:ext uri="{FF2B5EF4-FFF2-40B4-BE49-F238E27FC236}">
              <a16:creationId xmlns:a16="http://schemas.microsoft.com/office/drawing/2014/main" id="{04B66A3E-6C4A-4CEA-A71E-3FB9E6BB7B1D}"/>
            </a:ext>
            <a:ext uri="{147F2762-F138-4A5C-976F-8EAC2B608ADB}">
              <a16:predDERef xmlns:a16="http://schemas.microsoft.com/office/drawing/2014/main" pred="{83572445-6483-4226-BAEF-FF3505B1011F}"/>
            </a:ext>
          </a:extLst>
        </xdr:cNvPr>
        <xdr:cNvPicPr>
          <a:picLocks noChangeAspect="1"/>
        </xdr:cNvPicPr>
      </xdr:nvPicPr>
      <xdr:blipFill>
        <a:blip xmlns:r="http://schemas.openxmlformats.org/officeDocument/2006/relationships" r:embed="rId1"/>
        <a:stretch>
          <a:fillRect/>
        </a:stretch>
      </xdr:blipFill>
      <xdr:spPr>
        <a:xfrm>
          <a:off x="169755" y="18551371"/>
          <a:ext cx="1688062" cy="333327"/>
        </a:xfrm>
        <a:prstGeom prst="rect">
          <a:avLst/>
        </a:prstGeom>
      </xdr:spPr>
    </xdr:pic>
    <xdr:clientData/>
  </xdr:twoCellAnchor>
  <xdr:twoCellAnchor editAs="oneCell">
    <xdr:from>
      <xdr:col>25</xdr:col>
      <xdr:colOff>0</xdr:colOff>
      <xdr:row>73</xdr:row>
      <xdr:rowOff>57150</xdr:rowOff>
    </xdr:from>
    <xdr:to>
      <xdr:col>30</xdr:col>
      <xdr:colOff>665111</xdr:colOff>
      <xdr:row>76</xdr:row>
      <xdr:rowOff>142875</xdr:rowOff>
    </xdr:to>
    <xdr:pic>
      <xdr:nvPicPr>
        <xdr:cNvPr id="7" name="Picture 6">
          <a:extLst>
            <a:ext uri="{FF2B5EF4-FFF2-40B4-BE49-F238E27FC236}">
              <a16:creationId xmlns:a16="http://schemas.microsoft.com/office/drawing/2014/main" id="{C264A90F-4E0B-AC1D-EBAC-E05CF46C9787}"/>
            </a:ext>
          </a:extLst>
        </xdr:cNvPr>
        <xdr:cNvPicPr>
          <a:picLocks noChangeAspect="1"/>
        </xdr:cNvPicPr>
      </xdr:nvPicPr>
      <xdr:blipFill>
        <a:blip xmlns:r="http://schemas.openxmlformats.org/officeDocument/2006/relationships" r:embed="rId2"/>
        <a:stretch>
          <a:fillRect/>
        </a:stretch>
      </xdr:blipFill>
      <xdr:spPr>
        <a:xfrm>
          <a:off x="4400550" y="2962275"/>
          <a:ext cx="2171700" cy="571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707</xdr:row>
      <xdr:rowOff>127300</xdr:rowOff>
    </xdr:from>
    <xdr:to>
      <xdr:col>2</xdr:col>
      <xdr:colOff>21483</xdr:colOff>
      <xdr:row>709</xdr:row>
      <xdr:rowOff>97313</xdr:rowOff>
    </xdr:to>
    <xdr:pic>
      <xdr:nvPicPr>
        <xdr:cNvPr id="2" name="Picture 1">
          <a:extLst>
            <a:ext uri="{FF2B5EF4-FFF2-40B4-BE49-F238E27FC236}">
              <a16:creationId xmlns:a16="http://schemas.microsoft.com/office/drawing/2014/main" id="{0E66B1DC-F26F-4088-8A70-4544BE56563E}"/>
            </a:ext>
            <a:ext uri="{147F2762-F138-4A5C-976F-8EAC2B608ADB}">
              <a16:predDERef xmlns:a16="http://schemas.microsoft.com/office/drawing/2014/main" pred="{83572445-6483-4226-BAEF-FF3505B1011F}"/>
            </a:ext>
          </a:extLst>
        </xdr:cNvPr>
        <xdr:cNvPicPr>
          <a:picLocks noChangeAspect="1"/>
        </xdr:cNvPicPr>
      </xdr:nvPicPr>
      <xdr:blipFill>
        <a:blip xmlns:r="http://schemas.openxmlformats.org/officeDocument/2006/relationships" r:embed="rId1"/>
        <a:stretch>
          <a:fillRect/>
        </a:stretch>
      </xdr:blipFill>
      <xdr:spPr>
        <a:xfrm>
          <a:off x="168394" y="17081800"/>
          <a:ext cx="1677177" cy="331964"/>
        </a:xfrm>
        <a:prstGeom prst="rect">
          <a:avLst/>
        </a:prstGeom>
      </xdr:spPr>
    </xdr:pic>
    <xdr:clientData/>
  </xdr:twoCellAnchor>
  <xdr:twoCellAnchor editAs="oneCell">
    <xdr:from>
      <xdr:col>6</xdr:col>
      <xdr:colOff>0</xdr:colOff>
      <xdr:row>710</xdr:row>
      <xdr:rowOff>57150</xdr:rowOff>
    </xdr:from>
    <xdr:to>
      <xdr:col>9</xdr:col>
      <xdr:colOff>340125</xdr:colOff>
      <xdr:row>713</xdr:row>
      <xdr:rowOff>131445</xdr:rowOff>
    </xdr:to>
    <xdr:pic>
      <xdr:nvPicPr>
        <xdr:cNvPr id="3" name="Picture 2">
          <a:extLst>
            <a:ext uri="{FF2B5EF4-FFF2-40B4-BE49-F238E27FC236}">
              <a16:creationId xmlns:a16="http://schemas.microsoft.com/office/drawing/2014/main" id="{F7894AF1-EF54-4FBA-930D-1E5DCC155F9D}"/>
            </a:ext>
          </a:extLst>
        </xdr:cNvPr>
        <xdr:cNvPicPr>
          <a:picLocks noChangeAspect="1"/>
        </xdr:cNvPicPr>
      </xdr:nvPicPr>
      <xdr:blipFill>
        <a:blip xmlns:r="http://schemas.openxmlformats.org/officeDocument/2006/relationships" r:embed="rId2"/>
        <a:stretch>
          <a:fillRect/>
        </a:stretch>
      </xdr:blipFill>
      <xdr:spPr>
        <a:xfrm>
          <a:off x="4781550" y="17526000"/>
          <a:ext cx="2179586" cy="57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SFNEW\AGT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SFNEW\TANK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gh228\working-stdf\NVD\TAN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HECKE~1\AGTATO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gh228\working-stdf\CSFNEW\AGTATO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gh228\working-stdf\CSFNEW\TANK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s>
    <definedNames>
      <definedName name="Module1.UNITOK"/>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3"/>
    </sheetNames>
    <definedNames>
      <definedName name="UNITOK"/>
    </defined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
    </sheetNames>
    <definedNames>
      <definedName name="_xlbgnm.OPT10"/>
    </defined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s>
    <definedNames>
      <definedName name="_xlbgnm.OPT8"/>
      <definedName name="_xlbgnm.OPT9"/>
    </defined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s>
    <definedNames>
      <definedName name="Module1.UNITOK"/>
    </defined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3"/>
    </sheetNames>
    <definedNames>
      <definedName name="UNITOK"/>
    </definedNames>
    <sheetDataSet>
      <sheetData sheetId="0" refreshError="1"/>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6.bin"/><Relationship Id="rId3" Type="http://schemas.openxmlformats.org/officeDocument/2006/relationships/printerSettings" Target="../printerSettings/printerSettings11.bin"/><Relationship Id="rId7" Type="http://schemas.openxmlformats.org/officeDocument/2006/relationships/printerSettings" Target="../printerSettings/printerSettings15.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4.bin"/><Relationship Id="rId5" Type="http://schemas.openxmlformats.org/officeDocument/2006/relationships/printerSettings" Target="../printerSettings/printerSettings13.bin"/><Relationship Id="rId4" Type="http://schemas.openxmlformats.org/officeDocument/2006/relationships/printerSettings" Target="../printerSettings/printerSettings12.bin"/><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4.bin"/><Relationship Id="rId3" Type="http://schemas.openxmlformats.org/officeDocument/2006/relationships/printerSettings" Target="../printerSettings/printerSettings19.bin"/><Relationship Id="rId7" Type="http://schemas.openxmlformats.org/officeDocument/2006/relationships/printerSettings" Target="../printerSettings/printerSettings23.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2.bin"/><Relationship Id="rId5" Type="http://schemas.openxmlformats.org/officeDocument/2006/relationships/printerSettings" Target="../printerSettings/printerSettings21.bin"/><Relationship Id="rId4" Type="http://schemas.openxmlformats.org/officeDocument/2006/relationships/printerSettings" Target="../printerSettings/printerSettings20.bin"/><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5" Type="http://schemas.openxmlformats.org/officeDocument/2006/relationships/drawing" Target="../drawings/drawing5.xml"/><Relationship Id="rId4" Type="http://schemas.openxmlformats.org/officeDocument/2006/relationships/printerSettings" Target="../printerSettings/printerSettings3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42"/>
  <sheetViews>
    <sheetView showGridLines="0" view="pageBreakPreview" topLeftCell="A2" zoomScaleNormal="100" zoomScaleSheetLayoutView="100" workbookViewId="0">
      <selection activeCell="BM69" sqref="BM69"/>
    </sheetView>
  </sheetViews>
  <sheetFormatPr defaultRowHeight="13.2"/>
  <cols>
    <col min="1" max="1" width="7.44140625" style="17" customWidth="1"/>
    <col min="2" max="2" width="10.33203125" style="17" bestFit="1" customWidth="1"/>
    <col min="3" max="3" width="16.109375" style="17" customWidth="1"/>
    <col min="4" max="4" width="5.88671875" style="17" customWidth="1"/>
    <col min="5" max="5" width="8.33203125" style="17" customWidth="1"/>
    <col min="6" max="8" width="18.6640625" style="17" customWidth="1"/>
    <col min="9" max="253" width="9.109375" style="17"/>
    <col min="254" max="254" width="7.44140625" style="17" customWidth="1"/>
    <col min="255" max="255" width="14" style="17" customWidth="1"/>
    <col min="256" max="256" width="16.109375" style="17" customWidth="1"/>
    <col min="257" max="257" width="5.44140625" style="17" customWidth="1"/>
    <col min="258" max="258" width="7.109375" style="17" customWidth="1"/>
    <col min="259" max="259" width="17.33203125" style="17" customWidth="1"/>
    <col min="260" max="260" width="8" style="17" customWidth="1"/>
    <col min="261" max="261" width="15" style="17" customWidth="1"/>
    <col min="262" max="262" width="5.6640625" style="17" customWidth="1"/>
    <col min="263" max="263" width="15.88671875" style="17" customWidth="1"/>
    <col min="264" max="264" width="6.33203125" style="17" customWidth="1"/>
    <col min="265" max="509" width="9.109375" style="17"/>
    <col min="510" max="510" width="7.44140625" style="17" customWidth="1"/>
    <col min="511" max="511" width="14" style="17" customWidth="1"/>
    <col min="512" max="512" width="16.109375" style="17" customWidth="1"/>
    <col min="513" max="513" width="5.44140625" style="17" customWidth="1"/>
    <col min="514" max="514" width="7.109375" style="17" customWidth="1"/>
    <col min="515" max="515" width="17.33203125" style="17" customWidth="1"/>
    <col min="516" max="516" width="8" style="17" customWidth="1"/>
    <col min="517" max="517" width="15" style="17" customWidth="1"/>
    <col min="518" max="518" width="5.6640625" style="17" customWidth="1"/>
    <col min="519" max="519" width="15.88671875" style="17" customWidth="1"/>
    <col min="520" max="520" width="6.33203125" style="17" customWidth="1"/>
    <col min="521" max="765" width="9.109375" style="17"/>
    <col min="766" max="766" width="7.44140625" style="17" customWidth="1"/>
    <col min="767" max="767" width="14" style="17" customWidth="1"/>
    <col min="768" max="768" width="16.109375" style="17" customWidth="1"/>
    <col min="769" max="769" width="5.44140625" style="17" customWidth="1"/>
    <col min="770" max="770" width="7.109375" style="17" customWidth="1"/>
    <col min="771" max="771" width="17.33203125" style="17" customWidth="1"/>
    <col min="772" max="772" width="8" style="17" customWidth="1"/>
    <col min="773" max="773" width="15" style="17" customWidth="1"/>
    <col min="774" max="774" width="5.6640625" style="17" customWidth="1"/>
    <col min="775" max="775" width="15.88671875" style="17" customWidth="1"/>
    <col min="776" max="776" width="6.33203125" style="17" customWidth="1"/>
    <col min="777" max="1021" width="9.109375" style="17"/>
    <col min="1022" max="1022" width="7.44140625" style="17" customWidth="1"/>
    <col min="1023" max="1023" width="14" style="17" customWidth="1"/>
    <col min="1024" max="1024" width="16.109375" style="17" customWidth="1"/>
    <col min="1025" max="1025" width="5.44140625" style="17" customWidth="1"/>
    <col min="1026" max="1026" width="7.109375" style="17" customWidth="1"/>
    <col min="1027" max="1027" width="17.33203125" style="17" customWidth="1"/>
    <col min="1028" max="1028" width="8" style="17" customWidth="1"/>
    <col min="1029" max="1029" width="15" style="17" customWidth="1"/>
    <col min="1030" max="1030" width="5.6640625" style="17" customWidth="1"/>
    <col min="1031" max="1031" width="15.88671875" style="17" customWidth="1"/>
    <col min="1032" max="1032" width="6.33203125" style="17" customWidth="1"/>
    <col min="1033" max="1277" width="9.109375" style="17"/>
    <col min="1278" max="1278" width="7.44140625" style="17" customWidth="1"/>
    <col min="1279" max="1279" width="14" style="17" customWidth="1"/>
    <col min="1280" max="1280" width="16.109375" style="17" customWidth="1"/>
    <col min="1281" max="1281" width="5.44140625" style="17" customWidth="1"/>
    <col min="1282" max="1282" width="7.109375" style="17" customWidth="1"/>
    <col min="1283" max="1283" width="17.33203125" style="17" customWidth="1"/>
    <col min="1284" max="1284" width="8" style="17" customWidth="1"/>
    <col min="1285" max="1285" width="15" style="17" customWidth="1"/>
    <col min="1286" max="1286" width="5.6640625" style="17" customWidth="1"/>
    <col min="1287" max="1287" width="15.88671875" style="17" customWidth="1"/>
    <col min="1288" max="1288" width="6.33203125" style="17" customWidth="1"/>
    <col min="1289" max="1533" width="9.109375" style="17"/>
    <col min="1534" max="1534" width="7.44140625" style="17" customWidth="1"/>
    <col min="1535" max="1535" width="14" style="17" customWidth="1"/>
    <col min="1536" max="1536" width="16.109375" style="17" customWidth="1"/>
    <col min="1537" max="1537" width="5.44140625" style="17" customWidth="1"/>
    <col min="1538" max="1538" width="7.109375" style="17" customWidth="1"/>
    <col min="1539" max="1539" width="17.33203125" style="17" customWidth="1"/>
    <col min="1540" max="1540" width="8" style="17" customWidth="1"/>
    <col min="1541" max="1541" width="15" style="17" customWidth="1"/>
    <col min="1542" max="1542" width="5.6640625" style="17" customWidth="1"/>
    <col min="1543" max="1543" width="15.88671875" style="17" customWidth="1"/>
    <col min="1544" max="1544" width="6.33203125" style="17" customWidth="1"/>
    <col min="1545" max="1789" width="9.109375" style="17"/>
    <col min="1790" max="1790" width="7.44140625" style="17" customWidth="1"/>
    <col min="1791" max="1791" width="14" style="17" customWidth="1"/>
    <col min="1792" max="1792" width="16.109375" style="17" customWidth="1"/>
    <col min="1793" max="1793" width="5.44140625" style="17" customWidth="1"/>
    <col min="1794" max="1794" width="7.109375" style="17" customWidth="1"/>
    <col min="1795" max="1795" width="17.33203125" style="17" customWidth="1"/>
    <col min="1796" max="1796" width="8" style="17" customWidth="1"/>
    <col min="1797" max="1797" width="15" style="17" customWidth="1"/>
    <col min="1798" max="1798" width="5.6640625" style="17" customWidth="1"/>
    <col min="1799" max="1799" width="15.88671875" style="17" customWidth="1"/>
    <col min="1800" max="1800" width="6.33203125" style="17" customWidth="1"/>
    <col min="1801" max="2045" width="9.109375" style="17"/>
    <col min="2046" max="2046" width="7.44140625" style="17" customWidth="1"/>
    <col min="2047" max="2047" width="14" style="17" customWidth="1"/>
    <col min="2048" max="2048" width="16.109375" style="17" customWidth="1"/>
    <col min="2049" max="2049" width="5.44140625" style="17" customWidth="1"/>
    <col min="2050" max="2050" width="7.109375" style="17" customWidth="1"/>
    <col min="2051" max="2051" width="17.33203125" style="17" customWidth="1"/>
    <col min="2052" max="2052" width="8" style="17" customWidth="1"/>
    <col min="2053" max="2053" width="15" style="17" customWidth="1"/>
    <col min="2054" max="2054" width="5.6640625" style="17" customWidth="1"/>
    <col min="2055" max="2055" width="15.88671875" style="17" customWidth="1"/>
    <col min="2056" max="2056" width="6.33203125" style="17" customWidth="1"/>
    <col min="2057" max="2301" width="9.109375" style="17"/>
    <col min="2302" max="2302" width="7.44140625" style="17" customWidth="1"/>
    <col min="2303" max="2303" width="14" style="17" customWidth="1"/>
    <col min="2304" max="2304" width="16.109375" style="17" customWidth="1"/>
    <col min="2305" max="2305" width="5.44140625" style="17" customWidth="1"/>
    <col min="2306" max="2306" width="7.109375" style="17" customWidth="1"/>
    <col min="2307" max="2307" width="17.33203125" style="17" customWidth="1"/>
    <col min="2308" max="2308" width="8" style="17" customWidth="1"/>
    <col min="2309" max="2309" width="15" style="17" customWidth="1"/>
    <col min="2310" max="2310" width="5.6640625" style="17" customWidth="1"/>
    <col min="2311" max="2311" width="15.88671875" style="17" customWidth="1"/>
    <col min="2312" max="2312" width="6.33203125" style="17" customWidth="1"/>
    <col min="2313" max="2557" width="9.109375" style="17"/>
    <col min="2558" max="2558" width="7.44140625" style="17" customWidth="1"/>
    <col min="2559" max="2559" width="14" style="17" customWidth="1"/>
    <col min="2560" max="2560" width="16.109375" style="17" customWidth="1"/>
    <col min="2561" max="2561" width="5.44140625" style="17" customWidth="1"/>
    <col min="2562" max="2562" width="7.109375" style="17" customWidth="1"/>
    <col min="2563" max="2563" width="17.33203125" style="17" customWidth="1"/>
    <col min="2564" max="2564" width="8" style="17" customWidth="1"/>
    <col min="2565" max="2565" width="15" style="17" customWidth="1"/>
    <col min="2566" max="2566" width="5.6640625" style="17" customWidth="1"/>
    <col min="2567" max="2567" width="15.88671875" style="17" customWidth="1"/>
    <col min="2568" max="2568" width="6.33203125" style="17" customWidth="1"/>
    <col min="2569" max="2813" width="9.109375" style="17"/>
    <col min="2814" max="2814" width="7.44140625" style="17" customWidth="1"/>
    <col min="2815" max="2815" width="14" style="17" customWidth="1"/>
    <col min="2816" max="2816" width="16.109375" style="17" customWidth="1"/>
    <col min="2817" max="2817" width="5.44140625" style="17" customWidth="1"/>
    <col min="2818" max="2818" width="7.109375" style="17" customWidth="1"/>
    <col min="2819" max="2819" width="17.33203125" style="17" customWidth="1"/>
    <col min="2820" max="2820" width="8" style="17" customWidth="1"/>
    <col min="2821" max="2821" width="15" style="17" customWidth="1"/>
    <col min="2822" max="2822" width="5.6640625" style="17" customWidth="1"/>
    <col min="2823" max="2823" width="15.88671875" style="17" customWidth="1"/>
    <col min="2824" max="2824" width="6.33203125" style="17" customWidth="1"/>
    <col min="2825" max="3069" width="9.109375" style="17"/>
    <col min="3070" max="3070" width="7.44140625" style="17" customWidth="1"/>
    <col min="3071" max="3071" width="14" style="17" customWidth="1"/>
    <col min="3072" max="3072" width="16.109375" style="17" customWidth="1"/>
    <col min="3073" max="3073" width="5.44140625" style="17" customWidth="1"/>
    <col min="3074" max="3074" width="7.109375" style="17" customWidth="1"/>
    <col min="3075" max="3075" width="17.33203125" style="17" customWidth="1"/>
    <col min="3076" max="3076" width="8" style="17" customWidth="1"/>
    <col min="3077" max="3077" width="15" style="17" customWidth="1"/>
    <col min="3078" max="3078" width="5.6640625" style="17" customWidth="1"/>
    <col min="3079" max="3079" width="15.88671875" style="17" customWidth="1"/>
    <col min="3080" max="3080" width="6.33203125" style="17" customWidth="1"/>
    <col min="3081" max="3325" width="9.109375" style="17"/>
    <col min="3326" max="3326" width="7.44140625" style="17" customWidth="1"/>
    <col min="3327" max="3327" width="14" style="17" customWidth="1"/>
    <col min="3328" max="3328" width="16.109375" style="17" customWidth="1"/>
    <col min="3329" max="3329" width="5.44140625" style="17" customWidth="1"/>
    <col min="3330" max="3330" width="7.109375" style="17" customWidth="1"/>
    <col min="3331" max="3331" width="17.33203125" style="17" customWidth="1"/>
    <col min="3332" max="3332" width="8" style="17" customWidth="1"/>
    <col min="3333" max="3333" width="15" style="17" customWidth="1"/>
    <col min="3334" max="3334" width="5.6640625" style="17" customWidth="1"/>
    <col min="3335" max="3335" width="15.88671875" style="17" customWidth="1"/>
    <col min="3336" max="3336" width="6.33203125" style="17" customWidth="1"/>
    <col min="3337" max="3581" width="9.109375" style="17"/>
    <col min="3582" max="3582" width="7.44140625" style="17" customWidth="1"/>
    <col min="3583" max="3583" width="14" style="17" customWidth="1"/>
    <col min="3584" max="3584" width="16.109375" style="17" customWidth="1"/>
    <col min="3585" max="3585" width="5.44140625" style="17" customWidth="1"/>
    <col min="3586" max="3586" width="7.109375" style="17" customWidth="1"/>
    <col min="3587" max="3587" width="17.33203125" style="17" customWidth="1"/>
    <col min="3588" max="3588" width="8" style="17" customWidth="1"/>
    <col min="3589" max="3589" width="15" style="17" customWidth="1"/>
    <col min="3590" max="3590" width="5.6640625" style="17" customWidth="1"/>
    <col min="3591" max="3591" width="15.88671875" style="17" customWidth="1"/>
    <col min="3592" max="3592" width="6.33203125" style="17" customWidth="1"/>
    <col min="3593" max="3837" width="9.109375" style="17"/>
    <col min="3838" max="3838" width="7.44140625" style="17" customWidth="1"/>
    <col min="3839" max="3839" width="14" style="17" customWidth="1"/>
    <col min="3840" max="3840" width="16.109375" style="17" customWidth="1"/>
    <col min="3841" max="3841" width="5.44140625" style="17" customWidth="1"/>
    <col min="3842" max="3842" width="7.109375" style="17" customWidth="1"/>
    <col min="3843" max="3843" width="17.33203125" style="17" customWidth="1"/>
    <col min="3844" max="3844" width="8" style="17" customWidth="1"/>
    <col min="3845" max="3845" width="15" style="17" customWidth="1"/>
    <col min="3846" max="3846" width="5.6640625" style="17" customWidth="1"/>
    <col min="3847" max="3847" width="15.88671875" style="17" customWidth="1"/>
    <col min="3848" max="3848" width="6.33203125" style="17" customWidth="1"/>
    <col min="3849" max="4093" width="9.109375" style="17"/>
    <col min="4094" max="4094" width="7.44140625" style="17" customWidth="1"/>
    <col min="4095" max="4095" width="14" style="17" customWidth="1"/>
    <col min="4096" max="4096" width="16.109375" style="17" customWidth="1"/>
    <col min="4097" max="4097" width="5.44140625" style="17" customWidth="1"/>
    <col min="4098" max="4098" width="7.109375" style="17" customWidth="1"/>
    <col min="4099" max="4099" width="17.33203125" style="17" customWidth="1"/>
    <col min="4100" max="4100" width="8" style="17" customWidth="1"/>
    <col min="4101" max="4101" width="15" style="17" customWidth="1"/>
    <col min="4102" max="4102" width="5.6640625" style="17" customWidth="1"/>
    <col min="4103" max="4103" width="15.88671875" style="17" customWidth="1"/>
    <col min="4104" max="4104" width="6.33203125" style="17" customWidth="1"/>
    <col min="4105" max="4349" width="9.109375" style="17"/>
    <col min="4350" max="4350" width="7.44140625" style="17" customWidth="1"/>
    <col min="4351" max="4351" width="14" style="17" customWidth="1"/>
    <col min="4352" max="4352" width="16.109375" style="17" customWidth="1"/>
    <col min="4353" max="4353" width="5.44140625" style="17" customWidth="1"/>
    <col min="4354" max="4354" width="7.109375" style="17" customWidth="1"/>
    <col min="4355" max="4355" width="17.33203125" style="17" customWidth="1"/>
    <col min="4356" max="4356" width="8" style="17" customWidth="1"/>
    <col min="4357" max="4357" width="15" style="17" customWidth="1"/>
    <col min="4358" max="4358" width="5.6640625" style="17" customWidth="1"/>
    <col min="4359" max="4359" width="15.88671875" style="17" customWidth="1"/>
    <col min="4360" max="4360" width="6.33203125" style="17" customWidth="1"/>
    <col min="4361" max="4605" width="9.109375" style="17"/>
    <col min="4606" max="4606" width="7.44140625" style="17" customWidth="1"/>
    <col min="4607" max="4607" width="14" style="17" customWidth="1"/>
    <col min="4608" max="4608" width="16.109375" style="17" customWidth="1"/>
    <col min="4609" max="4609" width="5.44140625" style="17" customWidth="1"/>
    <col min="4610" max="4610" width="7.109375" style="17" customWidth="1"/>
    <col min="4611" max="4611" width="17.33203125" style="17" customWidth="1"/>
    <col min="4612" max="4612" width="8" style="17" customWidth="1"/>
    <col min="4613" max="4613" width="15" style="17" customWidth="1"/>
    <col min="4614" max="4614" width="5.6640625" style="17" customWidth="1"/>
    <col min="4615" max="4615" width="15.88671875" style="17" customWidth="1"/>
    <col min="4616" max="4616" width="6.33203125" style="17" customWidth="1"/>
    <col min="4617" max="4861" width="9.109375" style="17"/>
    <col min="4862" max="4862" width="7.44140625" style="17" customWidth="1"/>
    <col min="4863" max="4863" width="14" style="17" customWidth="1"/>
    <col min="4864" max="4864" width="16.109375" style="17" customWidth="1"/>
    <col min="4865" max="4865" width="5.44140625" style="17" customWidth="1"/>
    <col min="4866" max="4866" width="7.109375" style="17" customWidth="1"/>
    <col min="4867" max="4867" width="17.33203125" style="17" customWidth="1"/>
    <col min="4868" max="4868" width="8" style="17" customWidth="1"/>
    <col min="4869" max="4869" width="15" style="17" customWidth="1"/>
    <col min="4870" max="4870" width="5.6640625" style="17" customWidth="1"/>
    <col min="4871" max="4871" width="15.88671875" style="17" customWidth="1"/>
    <col min="4872" max="4872" width="6.33203125" style="17" customWidth="1"/>
    <col min="4873" max="5117" width="9.109375" style="17"/>
    <col min="5118" max="5118" width="7.44140625" style="17" customWidth="1"/>
    <col min="5119" max="5119" width="14" style="17" customWidth="1"/>
    <col min="5120" max="5120" width="16.109375" style="17" customWidth="1"/>
    <col min="5121" max="5121" width="5.44140625" style="17" customWidth="1"/>
    <col min="5122" max="5122" width="7.109375" style="17" customWidth="1"/>
    <col min="5123" max="5123" width="17.33203125" style="17" customWidth="1"/>
    <col min="5124" max="5124" width="8" style="17" customWidth="1"/>
    <col min="5125" max="5125" width="15" style="17" customWidth="1"/>
    <col min="5126" max="5126" width="5.6640625" style="17" customWidth="1"/>
    <col min="5127" max="5127" width="15.88671875" style="17" customWidth="1"/>
    <col min="5128" max="5128" width="6.33203125" style="17" customWidth="1"/>
    <col min="5129" max="5373" width="9.109375" style="17"/>
    <col min="5374" max="5374" width="7.44140625" style="17" customWidth="1"/>
    <col min="5375" max="5375" width="14" style="17" customWidth="1"/>
    <col min="5376" max="5376" width="16.109375" style="17" customWidth="1"/>
    <col min="5377" max="5377" width="5.44140625" style="17" customWidth="1"/>
    <col min="5378" max="5378" width="7.109375" style="17" customWidth="1"/>
    <col min="5379" max="5379" width="17.33203125" style="17" customWidth="1"/>
    <col min="5380" max="5380" width="8" style="17" customWidth="1"/>
    <col min="5381" max="5381" width="15" style="17" customWidth="1"/>
    <col min="5382" max="5382" width="5.6640625" style="17" customWidth="1"/>
    <col min="5383" max="5383" width="15.88671875" style="17" customWidth="1"/>
    <col min="5384" max="5384" width="6.33203125" style="17" customWidth="1"/>
    <col min="5385" max="5629" width="9.109375" style="17"/>
    <col min="5630" max="5630" width="7.44140625" style="17" customWidth="1"/>
    <col min="5631" max="5631" width="14" style="17" customWidth="1"/>
    <col min="5632" max="5632" width="16.109375" style="17" customWidth="1"/>
    <col min="5633" max="5633" width="5.44140625" style="17" customWidth="1"/>
    <col min="5634" max="5634" width="7.109375" style="17" customWidth="1"/>
    <col min="5635" max="5635" width="17.33203125" style="17" customWidth="1"/>
    <col min="5636" max="5636" width="8" style="17" customWidth="1"/>
    <col min="5637" max="5637" width="15" style="17" customWidth="1"/>
    <col min="5638" max="5638" width="5.6640625" style="17" customWidth="1"/>
    <col min="5639" max="5639" width="15.88671875" style="17" customWidth="1"/>
    <col min="5640" max="5640" width="6.33203125" style="17" customWidth="1"/>
    <col min="5641" max="5885" width="9.109375" style="17"/>
    <col min="5886" max="5886" width="7.44140625" style="17" customWidth="1"/>
    <col min="5887" max="5887" width="14" style="17" customWidth="1"/>
    <col min="5888" max="5888" width="16.109375" style="17" customWidth="1"/>
    <col min="5889" max="5889" width="5.44140625" style="17" customWidth="1"/>
    <col min="5890" max="5890" width="7.109375" style="17" customWidth="1"/>
    <col min="5891" max="5891" width="17.33203125" style="17" customWidth="1"/>
    <col min="5892" max="5892" width="8" style="17" customWidth="1"/>
    <col min="5893" max="5893" width="15" style="17" customWidth="1"/>
    <col min="5894" max="5894" width="5.6640625" style="17" customWidth="1"/>
    <col min="5895" max="5895" width="15.88671875" style="17" customWidth="1"/>
    <col min="5896" max="5896" width="6.33203125" style="17" customWidth="1"/>
    <col min="5897" max="6141" width="9.109375" style="17"/>
    <col min="6142" max="6142" width="7.44140625" style="17" customWidth="1"/>
    <col min="6143" max="6143" width="14" style="17" customWidth="1"/>
    <col min="6144" max="6144" width="16.109375" style="17" customWidth="1"/>
    <col min="6145" max="6145" width="5.44140625" style="17" customWidth="1"/>
    <col min="6146" max="6146" width="7.109375" style="17" customWidth="1"/>
    <col min="6147" max="6147" width="17.33203125" style="17" customWidth="1"/>
    <col min="6148" max="6148" width="8" style="17" customWidth="1"/>
    <col min="6149" max="6149" width="15" style="17" customWidth="1"/>
    <col min="6150" max="6150" width="5.6640625" style="17" customWidth="1"/>
    <col min="6151" max="6151" width="15.88671875" style="17" customWidth="1"/>
    <col min="6152" max="6152" width="6.33203125" style="17" customWidth="1"/>
    <col min="6153" max="6397" width="9.109375" style="17"/>
    <col min="6398" max="6398" width="7.44140625" style="17" customWidth="1"/>
    <col min="6399" max="6399" width="14" style="17" customWidth="1"/>
    <col min="6400" max="6400" width="16.109375" style="17" customWidth="1"/>
    <col min="6401" max="6401" width="5.44140625" style="17" customWidth="1"/>
    <col min="6402" max="6402" width="7.109375" style="17" customWidth="1"/>
    <col min="6403" max="6403" width="17.33203125" style="17" customWidth="1"/>
    <col min="6404" max="6404" width="8" style="17" customWidth="1"/>
    <col min="6405" max="6405" width="15" style="17" customWidth="1"/>
    <col min="6406" max="6406" width="5.6640625" style="17" customWidth="1"/>
    <col min="6407" max="6407" width="15.88671875" style="17" customWidth="1"/>
    <col min="6408" max="6408" width="6.33203125" style="17" customWidth="1"/>
    <col min="6409" max="6653" width="9.109375" style="17"/>
    <col min="6654" max="6654" width="7.44140625" style="17" customWidth="1"/>
    <col min="6655" max="6655" width="14" style="17" customWidth="1"/>
    <col min="6656" max="6656" width="16.109375" style="17" customWidth="1"/>
    <col min="6657" max="6657" width="5.44140625" style="17" customWidth="1"/>
    <col min="6658" max="6658" width="7.109375" style="17" customWidth="1"/>
    <col min="6659" max="6659" width="17.33203125" style="17" customWidth="1"/>
    <col min="6660" max="6660" width="8" style="17" customWidth="1"/>
    <col min="6661" max="6661" width="15" style="17" customWidth="1"/>
    <col min="6662" max="6662" width="5.6640625" style="17" customWidth="1"/>
    <col min="6663" max="6663" width="15.88671875" style="17" customWidth="1"/>
    <col min="6664" max="6664" width="6.33203125" style="17" customWidth="1"/>
    <col min="6665" max="6909" width="9.109375" style="17"/>
    <col min="6910" max="6910" width="7.44140625" style="17" customWidth="1"/>
    <col min="6911" max="6911" width="14" style="17" customWidth="1"/>
    <col min="6912" max="6912" width="16.109375" style="17" customWidth="1"/>
    <col min="6913" max="6913" width="5.44140625" style="17" customWidth="1"/>
    <col min="6914" max="6914" width="7.109375" style="17" customWidth="1"/>
    <col min="6915" max="6915" width="17.33203125" style="17" customWidth="1"/>
    <col min="6916" max="6916" width="8" style="17" customWidth="1"/>
    <col min="6917" max="6917" width="15" style="17" customWidth="1"/>
    <col min="6918" max="6918" width="5.6640625" style="17" customWidth="1"/>
    <col min="6919" max="6919" width="15.88671875" style="17" customWidth="1"/>
    <col min="6920" max="6920" width="6.33203125" style="17" customWidth="1"/>
    <col min="6921" max="7165" width="9.109375" style="17"/>
    <col min="7166" max="7166" width="7.44140625" style="17" customWidth="1"/>
    <col min="7167" max="7167" width="14" style="17" customWidth="1"/>
    <col min="7168" max="7168" width="16.109375" style="17" customWidth="1"/>
    <col min="7169" max="7169" width="5.44140625" style="17" customWidth="1"/>
    <col min="7170" max="7170" width="7.109375" style="17" customWidth="1"/>
    <col min="7171" max="7171" width="17.33203125" style="17" customWidth="1"/>
    <col min="7172" max="7172" width="8" style="17" customWidth="1"/>
    <col min="7173" max="7173" width="15" style="17" customWidth="1"/>
    <col min="7174" max="7174" width="5.6640625" style="17" customWidth="1"/>
    <col min="7175" max="7175" width="15.88671875" style="17" customWidth="1"/>
    <col min="7176" max="7176" width="6.33203125" style="17" customWidth="1"/>
    <col min="7177" max="7421" width="9.109375" style="17"/>
    <col min="7422" max="7422" width="7.44140625" style="17" customWidth="1"/>
    <col min="7423" max="7423" width="14" style="17" customWidth="1"/>
    <col min="7424" max="7424" width="16.109375" style="17" customWidth="1"/>
    <col min="7425" max="7425" width="5.44140625" style="17" customWidth="1"/>
    <col min="7426" max="7426" width="7.109375" style="17" customWidth="1"/>
    <col min="7427" max="7427" width="17.33203125" style="17" customWidth="1"/>
    <col min="7428" max="7428" width="8" style="17" customWidth="1"/>
    <col min="7429" max="7429" width="15" style="17" customWidth="1"/>
    <col min="7430" max="7430" width="5.6640625" style="17" customWidth="1"/>
    <col min="7431" max="7431" width="15.88671875" style="17" customWidth="1"/>
    <col min="7432" max="7432" width="6.33203125" style="17" customWidth="1"/>
    <col min="7433" max="7677" width="9.109375" style="17"/>
    <col min="7678" max="7678" width="7.44140625" style="17" customWidth="1"/>
    <col min="7679" max="7679" width="14" style="17" customWidth="1"/>
    <col min="7680" max="7680" width="16.109375" style="17" customWidth="1"/>
    <col min="7681" max="7681" width="5.44140625" style="17" customWidth="1"/>
    <col min="7682" max="7682" width="7.109375" style="17" customWidth="1"/>
    <col min="7683" max="7683" width="17.33203125" style="17" customWidth="1"/>
    <col min="7684" max="7684" width="8" style="17" customWidth="1"/>
    <col min="7685" max="7685" width="15" style="17" customWidth="1"/>
    <col min="7686" max="7686" width="5.6640625" style="17" customWidth="1"/>
    <col min="7687" max="7687" width="15.88671875" style="17" customWidth="1"/>
    <col min="7688" max="7688" width="6.33203125" style="17" customWidth="1"/>
    <col min="7689" max="7933" width="9.109375" style="17"/>
    <col min="7934" max="7934" width="7.44140625" style="17" customWidth="1"/>
    <col min="7935" max="7935" width="14" style="17" customWidth="1"/>
    <col min="7936" max="7936" width="16.109375" style="17" customWidth="1"/>
    <col min="7937" max="7937" width="5.44140625" style="17" customWidth="1"/>
    <col min="7938" max="7938" width="7.109375" style="17" customWidth="1"/>
    <col min="7939" max="7939" width="17.33203125" style="17" customWidth="1"/>
    <col min="7940" max="7940" width="8" style="17" customWidth="1"/>
    <col min="7941" max="7941" width="15" style="17" customWidth="1"/>
    <col min="7942" max="7942" width="5.6640625" style="17" customWidth="1"/>
    <col min="7943" max="7943" width="15.88671875" style="17" customWidth="1"/>
    <col min="7944" max="7944" width="6.33203125" style="17" customWidth="1"/>
    <col min="7945" max="8189" width="9.109375" style="17"/>
    <col min="8190" max="8190" width="7.44140625" style="17" customWidth="1"/>
    <col min="8191" max="8191" width="14" style="17" customWidth="1"/>
    <col min="8192" max="8192" width="16.109375" style="17" customWidth="1"/>
    <col min="8193" max="8193" width="5.44140625" style="17" customWidth="1"/>
    <col min="8194" max="8194" width="7.109375" style="17" customWidth="1"/>
    <col min="8195" max="8195" width="17.33203125" style="17" customWidth="1"/>
    <col min="8196" max="8196" width="8" style="17" customWidth="1"/>
    <col min="8197" max="8197" width="15" style="17" customWidth="1"/>
    <col min="8198" max="8198" width="5.6640625" style="17" customWidth="1"/>
    <col min="8199" max="8199" width="15.88671875" style="17" customWidth="1"/>
    <col min="8200" max="8200" width="6.33203125" style="17" customWidth="1"/>
    <col min="8201" max="8445" width="9.109375" style="17"/>
    <col min="8446" max="8446" width="7.44140625" style="17" customWidth="1"/>
    <col min="8447" max="8447" width="14" style="17" customWidth="1"/>
    <col min="8448" max="8448" width="16.109375" style="17" customWidth="1"/>
    <col min="8449" max="8449" width="5.44140625" style="17" customWidth="1"/>
    <col min="8450" max="8450" width="7.109375" style="17" customWidth="1"/>
    <col min="8451" max="8451" width="17.33203125" style="17" customWidth="1"/>
    <col min="8452" max="8452" width="8" style="17" customWidth="1"/>
    <col min="8453" max="8453" width="15" style="17" customWidth="1"/>
    <col min="8454" max="8454" width="5.6640625" style="17" customWidth="1"/>
    <col min="8455" max="8455" width="15.88671875" style="17" customWidth="1"/>
    <col min="8456" max="8456" width="6.33203125" style="17" customWidth="1"/>
    <col min="8457" max="8701" width="9.109375" style="17"/>
    <col min="8702" max="8702" width="7.44140625" style="17" customWidth="1"/>
    <col min="8703" max="8703" width="14" style="17" customWidth="1"/>
    <col min="8704" max="8704" width="16.109375" style="17" customWidth="1"/>
    <col min="8705" max="8705" width="5.44140625" style="17" customWidth="1"/>
    <col min="8706" max="8706" width="7.109375" style="17" customWidth="1"/>
    <col min="8707" max="8707" width="17.33203125" style="17" customWidth="1"/>
    <col min="8708" max="8708" width="8" style="17" customWidth="1"/>
    <col min="8709" max="8709" width="15" style="17" customWidth="1"/>
    <col min="8710" max="8710" width="5.6640625" style="17" customWidth="1"/>
    <col min="8711" max="8711" width="15.88671875" style="17" customWidth="1"/>
    <col min="8712" max="8712" width="6.33203125" style="17" customWidth="1"/>
    <col min="8713" max="8957" width="9.109375" style="17"/>
    <col min="8958" max="8958" width="7.44140625" style="17" customWidth="1"/>
    <col min="8959" max="8959" width="14" style="17" customWidth="1"/>
    <col min="8960" max="8960" width="16.109375" style="17" customWidth="1"/>
    <col min="8961" max="8961" width="5.44140625" style="17" customWidth="1"/>
    <col min="8962" max="8962" width="7.109375" style="17" customWidth="1"/>
    <col min="8963" max="8963" width="17.33203125" style="17" customWidth="1"/>
    <col min="8964" max="8964" width="8" style="17" customWidth="1"/>
    <col min="8965" max="8965" width="15" style="17" customWidth="1"/>
    <col min="8966" max="8966" width="5.6640625" style="17" customWidth="1"/>
    <col min="8967" max="8967" width="15.88671875" style="17" customWidth="1"/>
    <col min="8968" max="8968" width="6.33203125" style="17" customWidth="1"/>
    <col min="8969" max="9213" width="9.109375" style="17"/>
    <col min="9214" max="9214" width="7.44140625" style="17" customWidth="1"/>
    <col min="9215" max="9215" width="14" style="17" customWidth="1"/>
    <col min="9216" max="9216" width="16.109375" style="17" customWidth="1"/>
    <col min="9217" max="9217" width="5.44140625" style="17" customWidth="1"/>
    <col min="9218" max="9218" width="7.109375" style="17" customWidth="1"/>
    <col min="9219" max="9219" width="17.33203125" style="17" customWidth="1"/>
    <col min="9220" max="9220" width="8" style="17" customWidth="1"/>
    <col min="9221" max="9221" width="15" style="17" customWidth="1"/>
    <col min="9222" max="9222" width="5.6640625" style="17" customWidth="1"/>
    <col min="9223" max="9223" width="15.88671875" style="17" customWidth="1"/>
    <col min="9224" max="9224" width="6.33203125" style="17" customWidth="1"/>
    <col min="9225" max="9469" width="9.109375" style="17"/>
    <col min="9470" max="9470" width="7.44140625" style="17" customWidth="1"/>
    <col min="9471" max="9471" width="14" style="17" customWidth="1"/>
    <col min="9472" max="9472" width="16.109375" style="17" customWidth="1"/>
    <col min="9473" max="9473" width="5.44140625" style="17" customWidth="1"/>
    <col min="9474" max="9474" width="7.109375" style="17" customWidth="1"/>
    <col min="9475" max="9475" width="17.33203125" style="17" customWidth="1"/>
    <col min="9476" max="9476" width="8" style="17" customWidth="1"/>
    <col min="9477" max="9477" width="15" style="17" customWidth="1"/>
    <col min="9478" max="9478" width="5.6640625" style="17" customWidth="1"/>
    <col min="9479" max="9479" width="15.88671875" style="17" customWidth="1"/>
    <col min="9480" max="9480" width="6.33203125" style="17" customWidth="1"/>
    <col min="9481" max="9725" width="9.109375" style="17"/>
    <col min="9726" max="9726" width="7.44140625" style="17" customWidth="1"/>
    <col min="9727" max="9727" width="14" style="17" customWidth="1"/>
    <col min="9728" max="9728" width="16.109375" style="17" customWidth="1"/>
    <col min="9729" max="9729" width="5.44140625" style="17" customWidth="1"/>
    <col min="9730" max="9730" width="7.109375" style="17" customWidth="1"/>
    <col min="9731" max="9731" width="17.33203125" style="17" customWidth="1"/>
    <col min="9732" max="9732" width="8" style="17" customWidth="1"/>
    <col min="9733" max="9733" width="15" style="17" customWidth="1"/>
    <col min="9734" max="9734" width="5.6640625" style="17" customWidth="1"/>
    <col min="9735" max="9735" width="15.88671875" style="17" customWidth="1"/>
    <col min="9736" max="9736" width="6.33203125" style="17" customWidth="1"/>
    <col min="9737" max="9981" width="9.109375" style="17"/>
    <col min="9982" max="9982" width="7.44140625" style="17" customWidth="1"/>
    <col min="9983" max="9983" width="14" style="17" customWidth="1"/>
    <col min="9984" max="9984" width="16.109375" style="17" customWidth="1"/>
    <col min="9985" max="9985" width="5.44140625" style="17" customWidth="1"/>
    <col min="9986" max="9986" width="7.109375" style="17" customWidth="1"/>
    <col min="9987" max="9987" width="17.33203125" style="17" customWidth="1"/>
    <col min="9988" max="9988" width="8" style="17" customWidth="1"/>
    <col min="9989" max="9989" width="15" style="17" customWidth="1"/>
    <col min="9990" max="9990" width="5.6640625" style="17" customWidth="1"/>
    <col min="9991" max="9991" width="15.88671875" style="17" customWidth="1"/>
    <col min="9992" max="9992" width="6.33203125" style="17" customWidth="1"/>
    <col min="9993" max="10237" width="9.109375" style="17"/>
    <col min="10238" max="10238" width="7.44140625" style="17" customWidth="1"/>
    <col min="10239" max="10239" width="14" style="17" customWidth="1"/>
    <col min="10240" max="10240" width="16.109375" style="17" customWidth="1"/>
    <col min="10241" max="10241" width="5.44140625" style="17" customWidth="1"/>
    <col min="10242" max="10242" width="7.109375" style="17" customWidth="1"/>
    <col min="10243" max="10243" width="17.33203125" style="17" customWidth="1"/>
    <col min="10244" max="10244" width="8" style="17" customWidth="1"/>
    <col min="10245" max="10245" width="15" style="17" customWidth="1"/>
    <col min="10246" max="10246" width="5.6640625" style="17" customWidth="1"/>
    <col min="10247" max="10247" width="15.88671875" style="17" customWidth="1"/>
    <col min="10248" max="10248" width="6.33203125" style="17" customWidth="1"/>
    <col min="10249" max="10493" width="9.109375" style="17"/>
    <col min="10494" max="10494" width="7.44140625" style="17" customWidth="1"/>
    <col min="10495" max="10495" width="14" style="17" customWidth="1"/>
    <col min="10496" max="10496" width="16.109375" style="17" customWidth="1"/>
    <col min="10497" max="10497" width="5.44140625" style="17" customWidth="1"/>
    <col min="10498" max="10498" width="7.109375" style="17" customWidth="1"/>
    <col min="10499" max="10499" width="17.33203125" style="17" customWidth="1"/>
    <col min="10500" max="10500" width="8" style="17" customWidth="1"/>
    <col min="10501" max="10501" width="15" style="17" customWidth="1"/>
    <col min="10502" max="10502" width="5.6640625" style="17" customWidth="1"/>
    <col min="10503" max="10503" width="15.88671875" style="17" customWidth="1"/>
    <col min="10504" max="10504" width="6.33203125" style="17" customWidth="1"/>
    <col min="10505" max="10749" width="9.109375" style="17"/>
    <col min="10750" max="10750" width="7.44140625" style="17" customWidth="1"/>
    <col min="10751" max="10751" width="14" style="17" customWidth="1"/>
    <col min="10752" max="10752" width="16.109375" style="17" customWidth="1"/>
    <col min="10753" max="10753" width="5.44140625" style="17" customWidth="1"/>
    <col min="10754" max="10754" width="7.109375" style="17" customWidth="1"/>
    <col min="10755" max="10755" width="17.33203125" style="17" customWidth="1"/>
    <col min="10756" max="10756" width="8" style="17" customWidth="1"/>
    <col min="10757" max="10757" width="15" style="17" customWidth="1"/>
    <col min="10758" max="10758" width="5.6640625" style="17" customWidth="1"/>
    <col min="10759" max="10759" width="15.88671875" style="17" customWidth="1"/>
    <col min="10760" max="10760" width="6.33203125" style="17" customWidth="1"/>
    <col min="10761" max="11005" width="9.109375" style="17"/>
    <col min="11006" max="11006" width="7.44140625" style="17" customWidth="1"/>
    <col min="11007" max="11007" width="14" style="17" customWidth="1"/>
    <col min="11008" max="11008" width="16.109375" style="17" customWidth="1"/>
    <col min="11009" max="11009" width="5.44140625" style="17" customWidth="1"/>
    <col min="11010" max="11010" width="7.109375" style="17" customWidth="1"/>
    <col min="11011" max="11011" width="17.33203125" style="17" customWidth="1"/>
    <col min="11012" max="11012" width="8" style="17" customWidth="1"/>
    <col min="11013" max="11013" width="15" style="17" customWidth="1"/>
    <col min="11014" max="11014" width="5.6640625" style="17" customWidth="1"/>
    <col min="11015" max="11015" width="15.88671875" style="17" customWidth="1"/>
    <col min="11016" max="11016" width="6.33203125" style="17" customWidth="1"/>
    <col min="11017" max="11261" width="9.109375" style="17"/>
    <col min="11262" max="11262" width="7.44140625" style="17" customWidth="1"/>
    <col min="11263" max="11263" width="14" style="17" customWidth="1"/>
    <col min="11264" max="11264" width="16.109375" style="17" customWidth="1"/>
    <col min="11265" max="11265" width="5.44140625" style="17" customWidth="1"/>
    <col min="11266" max="11266" width="7.109375" style="17" customWidth="1"/>
    <col min="11267" max="11267" width="17.33203125" style="17" customWidth="1"/>
    <col min="11268" max="11268" width="8" style="17" customWidth="1"/>
    <col min="11269" max="11269" width="15" style="17" customWidth="1"/>
    <col min="11270" max="11270" width="5.6640625" style="17" customWidth="1"/>
    <col min="11271" max="11271" width="15.88671875" style="17" customWidth="1"/>
    <col min="11272" max="11272" width="6.33203125" style="17" customWidth="1"/>
    <col min="11273" max="11517" width="9.109375" style="17"/>
    <col min="11518" max="11518" width="7.44140625" style="17" customWidth="1"/>
    <col min="11519" max="11519" width="14" style="17" customWidth="1"/>
    <col min="11520" max="11520" width="16.109375" style="17" customWidth="1"/>
    <col min="11521" max="11521" width="5.44140625" style="17" customWidth="1"/>
    <col min="11522" max="11522" width="7.109375" style="17" customWidth="1"/>
    <col min="11523" max="11523" width="17.33203125" style="17" customWidth="1"/>
    <col min="11524" max="11524" width="8" style="17" customWidth="1"/>
    <col min="11525" max="11525" width="15" style="17" customWidth="1"/>
    <col min="11526" max="11526" width="5.6640625" style="17" customWidth="1"/>
    <col min="11527" max="11527" width="15.88671875" style="17" customWidth="1"/>
    <col min="11528" max="11528" width="6.33203125" style="17" customWidth="1"/>
    <col min="11529" max="11773" width="9.109375" style="17"/>
    <col min="11774" max="11774" width="7.44140625" style="17" customWidth="1"/>
    <col min="11775" max="11775" width="14" style="17" customWidth="1"/>
    <col min="11776" max="11776" width="16.109375" style="17" customWidth="1"/>
    <col min="11777" max="11777" width="5.44140625" style="17" customWidth="1"/>
    <col min="11778" max="11778" width="7.109375" style="17" customWidth="1"/>
    <col min="11779" max="11779" width="17.33203125" style="17" customWidth="1"/>
    <col min="11780" max="11780" width="8" style="17" customWidth="1"/>
    <col min="11781" max="11781" width="15" style="17" customWidth="1"/>
    <col min="11782" max="11782" width="5.6640625" style="17" customWidth="1"/>
    <col min="11783" max="11783" width="15.88671875" style="17" customWidth="1"/>
    <col min="11784" max="11784" width="6.33203125" style="17" customWidth="1"/>
    <col min="11785" max="12029" width="9.109375" style="17"/>
    <col min="12030" max="12030" width="7.44140625" style="17" customWidth="1"/>
    <col min="12031" max="12031" width="14" style="17" customWidth="1"/>
    <col min="12032" max="12032" width="16.109375" style="17" customWidth="1"/>
    <col min="12033" max="12033" width="5.44140625" style="17" customWidth="1"/>
    <col min="12034" max="12034" width="7.109375" style="17" customWidth="1"/>
    <col min="12035" max="12035" width="17.33203125" style="17" customWidth="1"/>
    <col min="12036" max="12036" width="8" style="17" customWidth="1"/>
    <col min="12037" max="12037" width="15" style="17" customWidth="1"/>
    <col min="12038" max="12038" width="5.6640625" style="17" customWidth="1"/>
    <col min="12039" max="12039" width="15.88671875" style="17" customWidth="1"/>
    <col min="12040" max="12040" width="6.33203125" style="17" customWidth="1"/>
    <col min="12041" max="12285" width="9.109375" style="17"/>
    <col min="12286" max="12286" width="7.44140625" style="17" customWidth="1"/>
    <col min="12287" max="12287" width="14" style="17" customWidth="1"/>
    <col min="12288" max="12288" width="16.109375" style="17" customWidth="1"/>
    <col min="12289" max="12289" width="5.44140625" style="17" customWidth="1"/>
    <col min="12290" max="12290" width="7.109375" style="17" customWidth="1"/>
    <col min="12291" max="12291" width="17.33203125" style="17" customWidth="1"/>
    <col min="12292" max="12292" width="8" style="17" customWidth="1"/>
    <col min="12293" max="12293" width="15" style="17" customWidth="1"/>
    <col min="12294" max="12294" width="5.6640625" style="17" customWidth="1"/>
    <col min="12295" max="12295" width="15.88671875" style="17" customWidth="1"/>
    <col min="12296" max="12296" width="6.33203125" style="17" customWidth="1"/>
    <col min="12297" max="12541" width="9.109375" style="17"/>
    <col min="12542" max="12542" width="7.44140625" style="17" customWidth="1"/>
    <col min="12543" max="12543" width="14" style="17" customWidth="1"/>
    <col min="12544" max="12544" width="16.109375" style="17" customWidth="1"/>
    <col min="12545" max="12545" width="5.44140625" style="17" customWidth="1"/>
    <col min="12546" max="12546" width="7.109375" style="17" customWidth="1"/>
    <col min="12547" max="12547" width="17.33203125" style="17" customWidth="1"/>
    <col min="12548" max="12548" width="8" style="17" customWidth="1"/>
    <col min="12549" max="12549" width="15" style="17" customWidth="1"/>
    <col min="12550" max="12550" width="5.6640625" style="17" customWidth="1"/>
    <col min="12551" max="12551" width="15.88671875" style="17" customWidth="1"/>
    <col min="12552" max="12552" width="6.33203125" style="17" customWidth="1"/>
    <col min="12553" max="12797" width="9.109375" style="17"/>
    <col min="12798" max="12798" width="7.44140625" style="17" customWidth="1"/>
    <col min="12799" max="12799" width="14" style="17" customWidth="1"/>
    <col min="12800" max="12800" width="16.109375" style="17" customWidth="1"/>
    <col min="12801" max="12801" width="5.44140625" style="17" customWidth="1"/>
    <col min="12802" max="12802" width="7.109375" style="17" customWidth="1"/>
    <col min="12803" max="12803" width="17.33203125" style="17" customWidth="1"/>
    <col min="12804" max="12804" width="8" style="17" customWidth="1"/>
    <col min="12805" max="12805" width="15" style="17" customWidth="1"/>
    <col min="12806" max="12806" width="5.6640625" style="17" customWidth="1"/>
    <col min="12807" max="12807" width="15.88671875" style="17" customWidth="1"/>
    <col min="12808" max="12808" width="6.33203125" style="17" customWidth="1"/>
    <col min="12809" max="13053" width="9.109375" style="17"/>
    <col min="13054" max="13054" width="7.44140625" style="17" customWidth="1"/>
    <col min="13055" max="13055" width="14" style="17" customWidth="1"/>
    <col min="13056" max="13056" width="16.109375" style="17" customWidth="1"/>
    <col min="13057" max="13057" width="5.44140625" style="17" customWidth="1"/>
    <col min="13058" max="13058" width="7.109375" style="17" customWidth="1"/>
    <col min="13059" max="13059" width="17.33203125" style="17" customWidth="1"/>
    <col min="13060" max="13060" width="8" style="17" customWidth="1"/>
    <col min="13061" max="13061" width="15" style="17" customWidth="1"/>
    <col min="13062" max="13062" width="5.6640625" style="17" customWidth="1"/>
    <col min="13063" max="13063" width="15.88671875" style="17" customWidth="1"/>
    <col min="13064" max="13064" width="6.33203125" style="17" customWidth="1"/>
    <col min="13065" max="13309" width="9.109375" style="17"/>
    <col min="13310" max="13310" width="7.44140625" style="17" customWidth="1"/>
    <col min="13311" max="13311" width="14" style="17" customWidth="1"/>
    <col min="13312" max="13312" width="16.109375" style="17" customWidth="1"/>
    <col min="13313" max="13313" width="5.44140625" style="17" customWidth="1"/>
    <col min="13314" max="13314" width="7.109375" style="17" customWidth="1"/>
    <col min="13315" max="13315" width="17.33203125" style="17" customWidth="1"/>
    <col min="13316" max="13316" width="8" style="17" customWidth="1"/>
    <col min="13317" max="13317" width="15" style="17" customWidth="1"/>
    <col min="13318" max="13318" width="5.6640625" style="17" customWidth="1"/>
    <col min="13319" max="13319" width="15.88671875" style="17" customWidth="1"/>
    <col min="13320" max="13320" width="6.33203125" style="17" customWidth="1"/>
    <col min="13321" max="13565" width="9.109375" style="17"/>
    <col min="13566" max="13566" width="7.44140625" style="17" customWidth="1"/>
    <col min="13567" max="13567" width="14" style="17" customWidth="1"/>
    <col min="13568" max="13568" width="16.109375" style="17" customWidth="1"/>
    <col min="13569" max="13569" width="5.44140625" style="17" customWidth="1"/>
    <col min="13570" max="13570" width="7.109375" style="17" customWidth="1"/>
    <col min="13571" max="13571" width="17.33203125" style="17" customWidth="1"/>
    <col min="13572" max="13572" width="8" style="17" customWidth="1"/>
    <col min="13573" max="13573" width="15" style="17" customWidth="1"/>
    <col min="13574" max="13574" width="5.6640625" style="17" customWidth="1"/>
    <col min="13575" max="13575" width="15.88671875" style="17" customWidth="1"/>
    <col min="13576" max="13576" width="6.33203125" style="17" customWidth="1"/>
    <col min="13577" max="13821" width="9.109375" style="17"/>
    <col min="13822" max="13822" width="7.44140625" style="17" customWidth="1"/>
    <col min="13823" max="13823" width="14" style="17" customWidth="1"/>
    <col min="13824" max="13824" width="16.109375" style="17" customWidth="1"/>
    <col min="13825" max="13825" width="5.44140625" style="17" customWidth="1"/>
    <col min="13826" max="13826" width="7.109375" style="17" customWidth="1"/>
    <col min="13827" max="13827" width="17.33203125" style="17" customWidth="1"/>
    <col min="13828" max="13828" width="8" style="17" customWidth="1"/>
    <col min="13829" max="13829" width="15" style="17" customWidth="1"/>
    <col min="13830" max="13830" width="5.6640625" style="17" customWidth="1"/>
    <col min="13831" max="13831" width="15.88671875" style="17" customWidth="1"/>
    <col min="13832" max="13832" width="6.33203125" style="17" customWidth="1"/>
    <col min="13833" max="14077" width="9.109375" style="17"/>
    <col min="14078" max="14078" width="7.44140625" style="17" customWidth="1"/>
    <col min="14079" max="14079" width="14" style="17" customWidth="1"/>
    <col min="14080" max="14080" width="16.109375" style="17" customWidth="1"/>
    <col min="14081" max="14081" width="5.44140625" style="17" customWidth="1"/>
    <col min="14082" max="14082" width="7.109375" style="17" customWidth="1"/>
    <col min="14083" max="14083" width="17.33203125" style="17" customWidth="1"/>
    <col min="14084" max="14084" width="8" style="17" customWidth="1"/>
    <col min="14085" max="14085" width="15" style="17" customWidth="1"/>
    <col min="14086" max="14086" width="5.6640625" style="17" customWidth="1"/>
    <col min="14087" max="14087" width="15.88671875" style="17" customWidth="1"/>
    <col min="14088" max="14088" width="6.33203125" style="17" customWidth="1"/>
    <col min="14089" max="14333" width="9.109375" style="17"/>
    <col min="14334" max="14334" width="7.44140625" style="17" customWidth="1"/>
    <col min="14335" max="14335" width="14" style="17" customWidth="1"/>
    <col min="14336" max="14336" width="16.109375" style="17" customWidth="1"/>
    <col min="14337" max="14337" width="5.44140625" style="17" customWidth="1"/>
    <col min="14338" max="14338" width="7.109375" style="17" customWidth="1"/>
    <col min="14339" max="14339" width="17.33203125" style="17" customWidth="1"/>
    <col min="14340" max="14340" width="8" style="17" customWidth="1"/>
    <col min="14341" max="14341" width="15" style="17" customWidth="1"/>
    <col min="14342" max="14342" width="5.6640625" style="17" customWidth="1"/>
    <col min="14343" max="14343" width="15.88671875" style="17" customWidth="1"/>
    <col min="14344" max="14344" width="6.33203125" style="17" customWidth="1"/>
    <col min="14345" max="14589" width="9.109375" style="17"/>
    <col min="14590" max="14590" width="7.44140625" style="17" customWidth="1"/>
    <col min="14591" max="14591" width="14" style="17" customWidth="1"/>
    <col min="14592" max="14592" width="16.109375" style="17" customWidth="1"/>
    <col min="14593" max="14593" width="5.44140625" style="17" customWidth="1"/>
    <col min="14594" max="14594" width="7.109375" style="17" customWidth="1"/>
    <col min="14595" max="14595" width="17.33203125" style="17" customWidth="1"/>
    <col min="14596" max="14596" width="8" style="17" customWidth="1"/>
    <col min="14597" max="14597" width="15" style="17" customWidth="1"/>
    <col min="14598" max="14598" width="5.6640625" style="17" customWidth="1"/>
    <col min="14599" max="14599" width="15.88671875" style="17" customWidth="1"/>
    <col min="14600" max="14600" width="6.33203125" style="17" customWidth="1"/>
    <col min="14601" max="14845" width="9.109375" style="17"/>
    <col min="14846" max="14846" width="7.44140625" style="17" customWidth="1"/>
    <col min="14847" max="14847" width="14" style="17" customWidth="1"/>
    <col min="14848" max="14848" width="16.109375" style="17" customWidth="1"/>
    <col min="14849" max="14849" width="5.44140625" style="17" customWidth="1"/>
    <col min="14850" max="14850" width="7.109375" style="17" customWidth="1"/>
    <col min="14851" max="14851" width="17.33203125" style="17" customWidth="1"/>
    <col min="14852" max="14852" width="8" style="17" customWidth="1"/>
    <col min="14853" max="14853" width="15" style="17" customWidth="1"/>
    <col min="14854" max="14854" width="5.6640625" style="17" customWidth="1"/>
    <col min="14855" max="14855" width="15.88671875" style="17" customWidth="1"/>
    <col min="14856" max="14856" width="6.33203125" style="17" customWidth="1"/>
    <col min="14857" max="15101" width="9.109375" style="17"/>
    <col min="15102" max="15102" width="7.44140625" style="17" customWidth="1"/>
    <col min="15103" max="15103" width="14" style="17" customWidth="1"/>
    <col min="15104" max="15104" width="16.109375" style="17" customWidth="1"/>
    <col min="15105" max="15105" width="5.44140625" style="17" customWidth="1"/>
    <col min="15106" max="15106" width="7.109375" style="17" customWidth="1"/>
    <col min="15107" max="15107" width="17.33203125" style="17" customWidth="1"/>
    <col min="15108" max="15108" width="8" style="17" customWidth="1"/>
    <col min="15109" max="15109" width="15" style="17" customWidth="1"/>
    <col min="15110" max="15110" width="5.6640625" style="17" customWidth="1"/>
    <col min="15111" max="15111" width="15.88671875" style="17" customWidth="1"/>
    <col min="15112" max="15112" width="6.33203125" style="17" customWidth="1"/>
    <col min="15113" max="15357" width="9.109375" style="17"/>
    <col min="15358" max="15358" width="7.44140625" style="17" customWidth="1"/>
    <col min="15359" max="15359" width="14" style="17" customWidth="1"/>
    <col min="15360" max="15360" width="16.109375" style="17" customWidth="1"/>
    <col min="15361" max="15361" width="5.44140625" style="17" customWidth="1"/>
    <col min="15362" max="15362" width="7.109375" style="17" customWidth="1"/>
    <col min="15363" max="15363" width="17.33203125" style="17" customWidth="1"/>
    <col min="15364" max="15364" width="8" style="17" customWidth="1"/>
    <col min="15365" max="15365" width="15" style="17" customWidth="1"/>
    <col min="15366" max="15366" width="5.6640625" style="17" customWidth="1"/>
    <col min="15367" max="15367" width="15.88671875" style="17" customWidth="1"/>
    <col min="15368" max="15368" width="6.33203125" style="17" customWidth="1"/>
    <col min="15369" max="15613" width="9.109375" style="17"/>
    <col min="15614" max="15614" width="7.44140625" style="17" customWidth="1"/>
    <col min="15615" max="15615" width="14" style="17" customWidth="1"/>
    <col min="15616" max="15616" width="16.109375" style="17" customWidth="1"/>
    <col min="15617" max="15617" width="5.44140625" style="17" customWidth="1"/>
    <col min="15618" max="15618" width="7.109375" style="17" customWidth="1"/>
    <col min="15619" max="15619" width="17.33203125" style="17" customWidth="1"/>
    <col min="15620" max="15620" width="8" style="17" customWidth="1"/>
    <col min="15621" max="15621" width="15" style="17" customWidth="1"/>
    <col min="15622" max="15622" width="5.6640625" style="17" customWidth="1"/>
    <col min="15623" max="15623" width="15.88671875" style="17" customWidth="1"/>
    <col min="15624" max="15624" width="6.33203125" style="17" customWidth="1"/>
    <col min="15625" max="15869" width="9.109375" style="17"/>
    <col min="15870" max="15870" width="7.44140625" style="17" customWidth="1"/>
    <col min="15871" max="15871" width="14" style="17" customWidth="1"/>
    <col min="15872" max="15872" width="16.109375" style="17" customWidth="1"/>
    <col min="15873" max="15873" width="5.44140625" style="17" customWidth="1"/>
    <col min="15874" max="15874" width="7.109375" style="17" customWidth="1"/>
    <col min="15875" max="15875" width="17.33203125" style="17" customWidth="1"/>
    <col min="15876" max="15876" width="8" style="17" customWidth="1"/>
    <col min="15877" max="15877" width="15" style="17" customWidth="1"/>
    <col min="15878" max="15878" width="5.6640625" style="17" customWidth="1"/>
    <col min="15879" max="15879" width="15.88671875" style="17" customWidth="1"/>
    <col min="15880" max="15880" width="6.33203125" style="17" customWidth="1"/>
    <col min="15881" max="16125" width="9.109375" style="17"/>
    <col min="16126" max="16126" width="7.44140625" style="17" customWidth="1"/>
    <col min="16127" max="16127" width="14" style="17" customWidth="1"/>
    <col min="16128" max="16128" width="16.109375" style="17" customWidth="1"/>
    <col min="16129" max="16129" width="5.44140625" style="17" customWidth="1"/>
    <col min="16130" max="16130" width="7.109375" style="17" customWidth="1"/>
    <col min="16131" max="16131" width="17.33203125" style="17" customWidth="1"/>
    <col min="16132" max="16132" width="8" style="17" customWidth="1"/>
    <col min="16133" max="16133" width="15" style="17" customWidth="1"/>
    <col min="16134" max="16134" width="5.6640625" style="17" customWidth="1"/>
    <col min="16135" max="16135" width="15.88671875" style="17" customWidth="1"/>
    <col min="16136" max="16136" width="6.33203125" style="17" customWidth="1"/>
    <col min="16137" max="16384" width="9.109375" style="17"/>
  </cols>
  <sheetData>
    <row r="1" spans="1:8" ht="21" customHeight="1">
      <c r="A1" s="353"/>
      <c r="B1" s="354"/>
      <c r="C1" s="354"/>
      <c r="D1" s="354"/>
      <c r="E1" s="354"/>
      <c r="F1" s="354"/>
      <c r="G1" s="354"/>
      <c r="H1" s="355"/>
    </row>
    <row r="2" spans="1:8" ht="77.25" customHeight="1">
      <c r="A2" s="356"/>
      <c r="B2" s="357"/>
      <c r="C2" s="357"/>
      <c r="D2" s="357"/>
      <c r="E2" s="357"/>
      <c r="F2" s="357"/>
      <c r="G2" s="357"/>
      <c r="H2" s="358"/>
    </row>
    <row r="3" spans="1:8" ht="66" customHeight="1">
      <c r="A3" s="41"/>
      <c r="G3" s="36"/>
      <c r="H3" s="42"/>
    </row>
    <row r="4" spans="1:8" ht="32.4">
      <c r="A4" s="43"/>
      <c r="B4" s="35"/>
      <c r="C4" s="35"/>
      <c r="D4" s="35"/>
      <c r="E4" s="35"/>
      <c r="H4" s="44"/>
    </row>
    <row r="5" spans="1:8" ht="40.5" customHeight="1">
      <c r="A5" s="45"/>
      <c r="B5" s="34"/>
      <c r="C5" s="34"/>
      <c r="D5" s="34"/>
      <c r="E5" s="34"/>
      <c r="F5" s="46"/>
      <c r="G5" s="33"/>
      <c r="H5" s="47"/>
    </row>
    <row r="6" spans="1:8" ht="35.1" customHeight="1">
      <c r="A6" s="359" t="s">
        <v>0</v>
      </c>
      <c r="B6" s="360"/>
      <c r="C6" s="360"/>
      <c r="D6" s="85"/>
      <c r="E6" s="29"/>
      <c r="F6" s="361"/>
      <c r="G6" s="361"/>
      <c r="H6" s="362"/>
    </row>
    <row r="7" spans="1:8" ht="35.1" customHeight="1">
      <c r="A7" s="363" t="s">
        <v>1</v>
      </c>
      <c r="B7" s="364"/>
      <c r="C7" s="364"/>
      <c r="D7" s="85"/>
      <c r="E7" s="29"/>
      <c r="F7" s="72"/>
      <c r="G7" s="72"/>
      <c r="H7" s="73"/>
    </row>
    <row r="8" spans="1:8" ht="35.1" customHeight="1">
      <c r="A8" s="359" t="s">
        <v>2</v>
      </c>
      <c r="B8" s="360"/>
      <c r="C8" s="360"/>
      <c r="D8" s="85"/>
      <c r="E8" s="29"/>
      <c r="F8" s="361"/>
      <c r="G8" s="361"/>
      <c r="H8" s="362"/>
    </row>
    <row r="9" spans="1:8" ht="35.1" customHeight="1">
      <c r="A9" s="359" t="s">
        <v>3</v>
      </c>
      <c r="B9" s="360"/>
      <c r="C9" s="360"/>
      <c r="D9" s="85"/>
      <c r="E9" s="29"/>
      <c r="F9" s="84" t="s">
        <v>4</v>
      </c>
      <c r="G9" s="83"/>
      <c r="H9" s="48"/>
    </row>
    <row r="10" spans="1:8" ht="35.1" customHeight="1">
      <c r="A10" s="359" t="s">
        <v>5</v>
      </c>
      <c r="B10" s="360"/>
      <c r="C10" s="360"/>
      <c r="D10" s="85"/>
      <c r="E10" s="29"/>
      <c r="F10" s="368"/>
      <c r="G10" s="366"/>
      <c r="H10" s="367"/>
    </row>
    <row r="11" spans="1:8" ht="35.1" customHeight="1">
      <c r="A11" s="359" t="s">
        <v>6</v>
      </c>
      <c r="B11" s="360"/>
      <c r="C11" s="360"/>
      <c r="D11" s="85"/>
      <c r="E11" s="29"/>
      <c r="F11" s="365"/>
      <c r="G11" s="366"/>
      <c r="H11" s="367"/>
    </row>
    <row r="12" spans="1:8" ht="33" customHeight="1">
      <c r="A12" s="359" t="s">
        <v>7</v>
      </c>
      <c r="B12" s="360"/>
      <c r="C12" s="360"/>
      <c r="D12" s="85"/>
      <c r="E12" s="29"/>
      <c r="F12" s="365" t="s">
        <v>8</v>
      </c>
      <c r="G12" s="366"/>
      <c r="H12" s="367"/>
    </row>
    <row r="13" spans="1:8" ht="33" customHeight="1">
      <c r="A13" s="359" t="s">
        <v>9</v>
      </c>
      <c r="B13" s="360"/>
      <c r="C13" s="360"/>
      <c r="D13" s="85"/>
      <c r="E13" s="29"/>
      <c r="F13" s="365" t="s">
        <v>10</v>
      </c>
      <c r="G13" s="366"/>
      <c r="H13" s="367"/>
    </row>
    <row r="14" spans="1:8" ht="35.1" customHeight="1">
      <c r="A14" s="359" t="s">
        <v>11</v>
      </c>
      <c r="B14" s="360"/>
      <c r="C14" s="360"/>
      <c r="D14" s="85"/>
      <c r="E14" s="29"/>
      <c r="F14" s="72" t="s">
        <v>12</v>
      </c>
      <c r="G14" s="32"/>
      <c r="H14" s="49"/>
    </row>
    <row r="15" spans="1:8" ht="35.1" customHeight="1">
      <c r="A15" s="359" t="s">
        <v>13</v>
      </c>
      <c r="B15" s="360"/>
      <c r="C15" s="360"/>
      <c r="D15" s="85"/>
      <c r="E15" s="29"/>
      <c r="F15" s="81"/>
      <c r="G15" s="32"/>
      <c r="H15" s="49"/>
    </row>
    <row r="16" spans="1:8" ht="48.75" customHeight="1">
      <c r="A16" s="50"/>
      <c r="B16" s="31"/>
      <c r="C16" s="31"/>
      <c r="D16" s="30"/>
      <c r="E16" s="29"/>
      <c r="F16" s="29"/>
      <c r="G16" s="29"/>
      <c r="H16" s="51"/>
    </row>
    <row r="17" spans="1:8" ht="48.75" customHeight="1">
      <c r="A17" s="50"/>
      <c r="B17" s="31"/>
      <c r="C17" s="31"/>
      <c r="D17" s="30"/>
      <c r="E17" s="29"/>
      <c r="F17" s="29"/>
      <c r="G17" s="29"/>
      <c r="H17" s="51"/>
    </row>
    <row r="18" spans="1:8" ht="48.75" customHeight="1">
      <c r="A18" s="50"/>
      <c r="B18" s="31"/>
      <c r="C18" s="31"/>
      <c r="D18" s="30"/>
      <c r="E18" s="29"/>
      <c r="F18" s="29"/>
      <c r="G18" s="29"/>
      <c r="H18" s="51"/>
    </row>
    <row r="19" spans="1:8" ht="35.1" customHeight="1">
      <c r="A19" s="50"/>
      <c r="B19" s="31"/>
      <c r="C19" s="31"/>
      <c r="D19" s="30"/>
      <c r="E19" s="29"/>
      <c r="F19" s="29"/>
      <c r="G19" s="29"/>
      <c r="H19" s="51"/>
    </row>
    <row r="20" spans="1:8" ht="35.1" customHeight="1">
      <c r="A20" s="50"/>
      <c r="B20" s="31"/>
      <c r="C20" s="31"/>
      <c r="D20" s="30"/>
      <c r="E20" s="29"/>
      <c r="F20" s="29"/>
      <c r="G20" s="29"/>
      <c r="H20" s="51"/>
    </row>
    <row r="21" spans="1:8" ht="33" customHeight="1" thickBot="1">
      <c r="A21" s="52"/>
      <c r="B21" s="28"/>
      <c r="C21" s="28"/>
      <c r="D21" s="28"/>
      <c r="E21" s="28"/>
      <c r="F21" s="28"/>
      <c r="G21" s="28"/>
      <c r="H21" s="51"/>
    </row>
    <row r="22" spans="1:8" ht="14.25" customHeight="1">
      <c r="A22" s="27"/>
      <c r="B22" s="26"/>
      <c r="C22" s="375"/>
      <c r="D22" s="375"/>
      <c r="E22" s="375"/>
      <c r="F22" s="71"/>
      <c r="G22" s="39"/>
      <c r="H22" s="53"/>
    </row>
    <row r="23" spans="1:8" ht="13.5" customHeight="1">
      <c r="A23" s="25"/>
      <c r="B23" s="24"/>
      <c r="C23" s="376"/>
      <c r="D23" s="376"/>
      <c r="E23" s="376"/>
      <c r="F23" s="37"/>
      <c r="G23" s="40"/>
      <c r="H23" s="54"/>
    </row>
    <row r="24" spans="1:8">
      <c r="A24" s="25"/>
      <c r="B24" s="24"/>
      <c r="C24" s="376"/>
      <c r="D24" s="376"/>
      <c r="E24" s="376"/>
      <c r="F24" s="37"/>
      <c r="G24" s="40"/>
      <c r="H24" s="54"/>
    </row>
    <row r="25" spans="1:8">
      <c r="A25" s="23"/>
      <c r="B25" s="22"/>
      <c r="C25" s="369"/>
      <c r="D25" s="370"/>
      <c r="E25" s="371"/>
      <c r="F25" s="38"/>
      <c r="G25" s="40"/>
      <c r="H25" s="54"/>
    </row>
    <row r="26" spans="1:8">
      <c r="A26" s="23"/>
      <c r="B26" s="22"/>
      <c r="C26" s="369"/>
      <c r="D26" s="370"/>
      <c r="E26" s="371"/>
      <c r="F26" s="38"/>
      <c r="G26" s="40"/>
      <c r="H26" s="54"/>
    </row>
    <row r="27" spans="1:8">
      <c r="A27" s="23" t="s">
        <v>14</v>
      </c>
      <c r="B27" s="80"/>
      <c r="C27" s="369" t="s">
        <v>15</v>
      </c>
      <c r="D27" s="370"/>
      <c r="E27" s="371"/>
      <c r="F27" s="38" t="s">
        <v>12</v>
      </c>
      <c r="G27" s="40" t="s">
        <v>16</v>
      </c>
      <c r="H27" s="54" t="s">
        <v>17</v>
      </c>
    </row>
    <row r="28" spans="1:8" ht="20.25" customHeight="1" thickBot="1">
      <c r="A28" s="21" t="s">
        <v>18</v>
      </c>
      <c r="B28" s="20" t="s">
        <v>13</v>
      </c>
      <c r="C28" s="372" t="s">
        <v>19</v>
      </c>
      <c r="D28" s="373"/>
      <c r="E28" s="374"/>
      <c r="F28" s="70" t="s">
        <v>20</v>
      </c>
      <c r="G28" s="70" t="s">
        <v>21</v>
      </c>
      <c r="H28" s="55" t="s">
        <v>22</v>
      </c>
    </row>
    <row r="29" spans="1:8" ht="12.75" customHeight="1">
      <c r="A29" s="19"/>
      <c r="B29" s="18"/>
      <c r="C29" s="18"/>
      <c r="D29" s="18"/>
      <c r="E29" s="18"/>
      <c r="F29" s="18"/>
      <c r="G29" s="18"/>
      <c r="H29" s="18"/>
    </row>
    <row r="30" spans="1:8" ht="12.75" customHeight="1">
      <c r="A30" s="19"/>
      <c r="B30" s="18"/>
      <c r="C30" s="18"/>
      <c r="D30" s="18"/>
      <c r="E30" s="18"/>
      <c r="F30" s="18"/>
      <c r="G30" s="18"/>
      <c r="H30" s="18"/>
    </row>
    <row r="31" spans="1:8" ht="12.75" customHeight="1"/>
    <row r="32" spans="1: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sheetData>
  <customSheetViews>
    <customSheetView guid="{8E8F94B8-32E0-4E0F-AFA7-579F1B47CB3E}" showPageBreaks="1" showGridLines="0" fitToPage="1" printArea="1" state="hidden" view="pageBreakPreview" topLeftCell="A2">
      <selection activeCell="BM69" sqref="BM69"/>
      <pageMargins left="0.19685039370078741" right="0.19685039370078741" top="0.19685039370078741" bottom="0.19685039370078741" header="7.874015748031496E-2" footer="7.874015748031496E-2"/>
      <pageSetup paperSize="8" fitToHeight="0" orientation="landscape" r:id="rId1"/>
      <headerFooter alignWithMargins="0"/>
    </customSheetView>
    <customSheetView guid="{CBF53F97-ED2F-4FF6-AB07-39F040F3005A}" showPageBreaks="1" showGridLines="0" fitToPage="1" printArea="1" state="hidden" view="pageBreakPreview" topLeftCell="A2">
      <selection activeCell="L8" sqref="L8"/>
      <pageMargins left="0.7" right="0.54" top="0.5" bottom="0.56999999999999995" header="0.28000000000000003" footer="0.43"/>
      <pageSetup paperSize="9" scale="84" orientation="portrait" r:id="rId2"/>
      <headerFooter alignWithMargins="0"/>
    </customSheetView>
    <customSheetView guid="{14464C38-68B9-4188-97D7-7378D773AFD5}" showPageBreaks="1" showGridLines="0" fitToPage="1" printArea="1" state="hidden" view="pageBreakPreview" topLeftCell="A2">
      <selection activeCell="L8" sqref="L8"/>
      <pageMargins left="0.7" right="0.54" top="0.5" bottom="0.56999999999999995" header="0.28000000000000003" footer="0.43"/>
      <pageSetup paperSize="9" scale="84" orientation="portrait" r:id="rId3"/>
      <headerFooter alignWithMargins="0"/>
    </customSheetView>
    <customSheetView guid="{9B10B627-434C-4F46-A642-4F5EA1395AB4}" showPageBreaks="1" showGridLines="0" fitToPage="1" printArea="1" state="hidden" view="pageBreakPreview" topLeftCell="A2">
      <selection activeCell="L8" sqref="L8"/>
      <pageMargins left="0.7" right="0.54" top="0.5" bottom="0.56999999999999995" header="0.28000000000000003" footer="0.43"/>
      <pageSetup paperSize="9" scale="84" orientation="portrait" r:id="rId4"/>
      <headerFooter alignWithMargins="0"/>
    </customSheetView>
    <customSheetView guid="{65692F4D-A6F4-4F51-A6D0-4E4EC15EED11}" showPageBreaks="1" showGridLines="0" fitToPage="1" printArea="1" state="hidden" view="pageBreakPreview" topLeftCell="A2">
      <selection activeCell="L8" sqref="L8"/>
      <pageMargins left="0.7" right="0.54" top="0.5" bottom="0.56999999999999995" header="0.28000000000000003" footer="0.43"/>
      <pageSetup paperSize="9" scale="81" orientation="portrait" r:id="rId5"/>
      <headerFooter alignWithMargins="0"/>
    </customSheetView>
    <customSheetView guid="{4B2152C0-165D-47F1-8933-57B3261F1379}" showPageBreaks="1" showGridLines="0" fitToPage="1" printArea="1" state="hidden" view="pageBreakPreview" topLeftCell="A2">
      <selection activeCell="BM69" sqref="BM69"/>
      <pageMargins left="0.19685039370078741" right="0.19685039370078741" top="0.19685039370078741" bottom="0.19685039370078741" header="7.874015748031496E-2" footer="7.874015748031496E-2"/>
      <pageSetup paperSize="8" fitToHeight="0" orientation="landscape" r:id="rId6"/>
      <headerFooter alignWithMargins="0"/>
    </customSheetView>
    <customSheetView guid="{9313348B-AF43-459E-B141-13E53440B183}" showPageBreaks="1" showGridLines="0" fitToPage="1" printArea="1" state="hidden" view="pageBreakPreview" topLeftCell="A2">
      <selection activeCell="BM69" sqref="BM69"/>
      <pageMargins left="0.19685039370078741" right="0.19685039370078741" top="0.19685039370078741" bottom="0.19685039370078741" header="7.874015748031496E-2" footer="7.874015748031496E-2"/>
      <pageSetup paperSize="8" fitToHeight="0" orientation="landscape" r:id="rId7"/>
      <headerFooter alignWithMargins="0"/>
    </customSheetView>
  </customSheetViews>
  <mergeCells count="25">
    <mergeCell ref="C25:E25"/>
    <mergeCell ref="C26:E26"/>
    <mergeCell ref="C27:E27"/>
    <mergeCell ref="C28:E28"/>
    <mergeCell ref="A14:C14"/>
    <mergeCell ref="A15:C15"/>
    <mergeCell ref="C22:E22"/>
    <mergeCell ref="C23:E23"/>
    <mergeCell ref="C24:E24"/>
    <mergeCell ref="A8:C8"/>
    <mergeCell ref="F8:H8"/>
    <mergeCell ref="A9:C9"/>
    <mergeCell ref="A13:C13"/>
    <mergeCell ref="F13:H13"/>
    <mergeCell ref="A10:C10"/>
    <mergeCell ref="F10:H10"/>
    <mergeCell ref="A11:C11"/>
    <mergeCell ref="F11:H11"/>
    <mergeCell ref="A12:C12"/>
    <mergeCell ref="F12:H12"/>
    <mergeCell ref="A1:H1"/>
    <mergeCell ref="A2:H2"/>
    <mergeCell ref="A6:C6"/>
    <mergeCell ref="F6:H6"/>
    <mergeCell ref="A7:C7"/>
  </mergeCells>
  <pageMargins left="0.19685039370078741" right="0.19685039370078741" top="0.19685039370078741" bottom="0.19685039370078741" header="7.874015748031496E-2" footer="7.874015748031496E-2"/>
  <pageSetup paperSize="8" fitToHeight="0" orientation="landscape" r:id="rId8"/>
  <headerFooter alignWithMargins="0"/>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0"/>
  <sheetViews>
    <sheetView view="pageBreakPreview" topLeftCell="A34" zoomScaleNormal="100" zoomScaleSheetLayoutView="100" workbookViewId="0">
      <selection activeCell="P11" sqref="P11"/>
    </sheetView>
  </sheetViews>
  <sheetFormatPr defaultRowHeight="14.4"/>
  <cols>
    <col min="1" max="25" width="3.44140625" customWidth="1"/>
  </cols>
  <sheetData>
    <row r="1" spans="1:25" ht="15" customHeight="1">
      <c r="A1" s="56"/>
      <c r="B1" s="57"/>
      <c r="C1" s="57"/>
      <c r="D1" s="57"/>
      <c r="E1" s="57"/>
      <c r="F1" s="57"/>
      <c r="G1" s="57"/>
      <c r="H1" s="57"/>
      <c r="I1" s="57"/>
      <c r="J1" s="57"/>
      <c r="K1" s="57"/>
      <c r="L1" s="57"/>
      <c r="M1" s="57"/>
      <c r="N1" s="57"/>
      <c r="O1" s="57"/>
      <c r="P1" s="57"/>
      <c r="Q1" s="57"/>
      <c r="R1" s="57"/>
      <c r="S1" s="57"/>
      <c r="T1" s="57"/>
      <c r="U1" s="57"/>
      <c r="V1" s="57"/>
      <c r="W1" s="57"/>
      <c r="X1" s="57"/>
      <c r="Y1" s="58"/>
    </row>
    <row r="2" spans="1:25" ht="15" customHeight="1">
      <c r="A2" s="59"/>
      <c r="B2" s="7" t="s">
        <v>23</v>
      </c>
      <c r="C2" s="60"/>
      <c r="D2" s="60"/>
      <c r="E2" s="61"/>
      <c r="F2" s="61"/>
      <c r="G2" s="61" t="s">
        <v>24</v>
      </c>
      <c r="H2" s="377">
        <f>'Cover sheet'!$F$7</f>
        <v>0</v>
      </c>
      <c r="I2" s="377"/>
      <c r="J2" s="377"/>
      <c r="K2" s="377"/>
      <c r="L2" s="377"/>
      <c r="M2" s="377"/>
      <c r="N2" s="377"/>
      <c r="O2" s="377"/>
      <c r="P2" s="377"/>
      <c r="Q2" s="377"/>
      <c r="R2" s="377"/>
      <c r="S2" s="377"/>
      <c r="T2" s="60"/>
      <c r="U2" s="60"/>
      <c r="V2" s="60"/>
      <c r="W2" s="60"/>
      <c r="X2" s="60"/>
      <c r="Y2" s="62"/>
    </row>
    <row r="3" spans="1:25" ht="15" customHeight="1">
      <c r="A3" s="59"/>
      <c r="B3" s="60" t="s">
        <v>25</v>
      </c>
      <c r="C3" s="60"/>
      <c r="D3" s="60"/>
      <c r="E3" s="61"/>
      <c r="F3" s="61"/>
      <c r="G3" s="61" t="s">
        <v>24</v>
      </c>
      <c r="H3" s="377">
        <f>'Cover sheet'!$F$6</f>
        <v>0</v>
      </c>
      <c r="I3" s="377"/>
      <c r="J3" s="377"/>
      <c r="K3" s="377"/>
      <c r="L3" s="377"/>
      <c r="M3" s="377"/>
      <c r="N3" s="377"/>
      <c r="O3" s="377"/>
      <c r="P3" s="377"/>
      <c r="Q3" s="377"/>
      <c r="R3" s="377"/>
      <c r="S3" s="377"/>
      <c r="T3" s="60"/>
      <c r="U3" s="60"/>
      <c r="V3" s="60"/>
      <c r="W3" s="60"/>
      <c r="X3" s="60"/>
      <c r="Y3" s="62"/>
    </row>
    <row r="4" spans="1:25" ht="15" customHeight="1">
      <c r="A4" s="59"/>
      <c r="B4" s="60" t="s">
        <v>26</v>
      </c>
      <c r="C4" s="60"/>
      <c r="D4" s="60"/>
      <c r="E4" s="61"/>
      <c r="F4" s="60"/>
      <c r="G4" s="61" t="s">
        <v>24</v>
      </c>
      <c r="H4" s="377">
        <f>'Cover sheet'!$F$10</f>
        <v>0</v>
      </c>
      <c r="I4" s="377"/>
      <c r="J4" s="377"/>
      <c r="K4" s="377"/>
      <c r="L4" s="377"/>
      <c r="M4" s="377"/>
      <c r="N4" s="377"/>
      <c r="O4" s="377"/>
      <c r="P4" s="377"/>
      <c r="Q4" s="377"/>
      <c r="R4" s="377"/>
      <c r="S4" s="377"/>
      <c r="T4" s="60"/>
      <c r="U4" s="60"/>
      <c r="V4" s="60"/>
      <c r="W4" s="60"/>
      <c r="X4" s="60"/>
      <c r="Y4" s="62"/>
    </row>
    <row r="5" spans="1:25" ht="15" customHeight="1">
      <c r="A5" s="59"/>
      <c r="B5" s="60" t="s">
        <v>6</v>
      </c>
      <c r="C5" s="60"/>
      <c r="D5" s="60"/>
      <c r="E5" s="60"/>
      <c r="F5" s="60"/>
      <c r="G5" s="61" t="s">
        <v>24</v>
      </c>
      <c r="H5" s="377">
        <f>'Cover sheet'!$F$11</f>
        <v>0</v>
      </c>
      <c r="I5" s="377"/>
      <c r="J5" s="60"/>
      <c r="K5" s="60" t="s">
        <v>27</v>
      </c>
      <c r="L5" s="60"/>
      <c r="M5" s="61" t="s">
        <v>24</v>
      </c>
      <c r="N5" s="378">
        <f>'Cover sheet'!B27</f>
        <v>0</v>
      </c>
      <c r="O5" s="379"/>
      <c r="P5" s="379"/>
      <c r="Q5" s="379"/>
      <c r="R5" s="60"/>
      <c r="S5" s="60"/>
      <c r="T5" s="60"/>
      <c r="U5" s="60"/>
      <c r="V5" s="60"/>
      <c r="W5" s="60"/>
      <c r="X5" s="60"/>
      <c r="Y5" s="62"/>
    </row>
    <row r="6" spans="1:25" ht="15" customHeight="1">
      <c r="A6" s="63"/>
      <c r="B6" s="64"/>
      <c r="C6" s="64"/>
      <c r="D6" s="64"/>
      <c r="E6" s="65"/>
      <c r="F6" s="64"/>
      <c r="G6" s="64"/>
      <c r="H6" s="64"/>
      <c r="I6" s="64"/>
      <c r="J6" s="64"/>
      <c r="K6" s="64"/>
      <c r="L6" s="64"/>
      <c r="M6" s="64"/>
      <c r="N6" s="64"/>
      <c r="O6" s="65"/>
      <c r="P6" s="64"/>
      <c r="Q6" s="64"/>
      <c r="R6" s="64"/>
      <c r="S6" s="64"/>
      <c r="T6" s="64"/>
      <c r="U6" s="64"/>
      <c r="V6" s="64"/>
      <c r="W6" s="64"/>
      <c r="X6" s="64"/>
      <c r="Y6" s="66"/>
    </row>
    <row r="7" spans="1:25" ht="15" customHeight="1">
      <c r="A7" s="60"/>
      <c r="B7" s="60"/>
      <c r="C7" s="60"/>
      <c r="D7" s="60"/>
      <c r="E7" s="61"/>
      <c r="F7" s="60"/>
      <c r="G7" s="60"/>
      <c r="H7" s="60"/>
      <c r="I7" s="60"/>
      <c r="J7" s="60"/>
      <c r="K7" s="60"/>
      <c r="L7" s="60"/>
      <c r="M7" s="60"/>
      <c r="N7" s="60"/>
      <c r="O7" s="60"/>
      <c r="P7" s="60"/>
      <c r="Q7" s="60"/>
      <c r="R7" s="60"/>
      <c r="S7" s="60"/>
      <c r="T7" s="60"/>
      <c r="U7" s="60"/>
      <c r="V7" s="60"/>
      <c r="W7" s="60"/>
      <c r="X7" s="60"/>
      <c r="Y7" s="60"/>
    </row>
    <row r="8" spans="1:25" ht="15" customHeight="1">
      <c r="A8" s="60"/>
      <c r="B8" s="60"/>
      <c r="C8" s="397" t="s">
        <v>28</v>
      </c>
      <c r="D8" s="397"/>
      <c r="E8" s="397"/>
      <c r="F8" s="397"/>
      <c r="G8" s="397"/>
      <c r="H8" s="397"/>
      <c r="I8" s="397"/>
      <c r="J8" s="397"/>
      <c r="K8" s="397"/>
      <c r="L8" s="397"/>
      <c r="M8" s="397"/>
      <c r="N8" s="397"/>
      <c r="O8" s="397"/>
      <c r="P8" s="397"/>
      <c r="Q8" s="397"/>
      <c r="R8" s="397"/>
      <c r="S8" s="397"/>
      <c r="T8" s="397"/>
      <c r="U8" s="397"/>
      <c r="V8" s="397"/>
      <c r="W8" s="397"/>
      <c r="X8" s="60"/>
      <c r="Y8" s="60"/>
    </row>
    <row r="9" spans="1:25" ht="15" customHeight="1">
      <c r="A9" s="60"/>
      <c r="B9" s="60"/>
      <c r="C9" s="397"/>
      <c r="D9" s="397"/>
      <c r="E9" s="397"/>
      <c r="F9" s="397"/>
      <c r="G9" s="397"/>
      <c r="H9" s="397"/>
      <c r="I9" s="397"/>
      <c r="J9" s="397"/>
      <c r="K9" s="397"/>
      <c r="L9" s="397"/>
      <c r="M9" s="397"/>
      <c r="N9" s="397"/>
      <c r="O9" s="397"/>
      <c r="P9" s="397"/>
      <c r="Q9" s="397"/>
      <c r="R9" s="397"/>
      <c r="S9" s="397"/>
      <c r="T9" s="397"/>
      <c r="U9" s="397"/>
      <c r="V9" s="397"/>
      <c r="W9" s="397"/>
      <c r="X9" s="60"/>
      <c r="Y9" s="60"/>
    </row>
    <row r="10" spans="1:25" ht="15" customHeight="1">
      <c r="A10" s="60"/>
      <c r="B10" s="60"/>
      <c r="C10" s="60"/>
      <c r="D10" s="60"/>
      <c r="E10" s="60"/>
      <c r="F10" s="60"/>
      <c r="G10" s="60"/>
      <c r="H10" s="60"/>
      <c r="I10" s="60"/>
      <c r="J10" s="60"/>
      <c r="K10" s="60"/>
      <c r="L10" s="60"/>
      <c r="M10" s="60"/>
      <c r="N10" s="60"/>
      <c r="O10" s="60"/>
      <c r="P10" s="60"/>
      <c r="Q10" s="60"/>
      <c r="R10" s="60"/>
      <c r="S10" s="60"/>
      <c r="T10" s="60"/>
      <c r="U10" s="60"/>
      <c r="V10" s="60"/>
      <c r="W10" s="60"/>
      <c r="X10" s="60"/>
      <c r="Y10" s="60"/>
    </row>
    <row r="11" spans="1:25" ht="15" customHeight="1">
      <c r="A11" s="60"/>
      <c r="B11" s="60"/>
      <c r="C11" s="60"/>
      <c r="D11" s="60"/>
      <c r="E11" s="60"/>
      <c r="F11" s="60"/>
      <c r="G11" s="60"/>
      <c r="H11" s="60"/>
      <c r="I11" s="60"/>
      <c r="J11" s="60"/>
      <c r="K11" s="60"/>
      <c r="L11" s="60"/>
      <c r="M11" s="60"/>
      <c r="N11" s="60"/>
      <c r="O11" s="60"/>
      <c r="P11" s="60"/>
      <c r="Q11" s="60"/>
      <c r="R11" s="60"/>
      <c r="S11" s="60"/>
      <c r="T11" s="60"/>
      <c r="U11" s="60"/>
      <c r="V11" s="60"/>
      <c r="W11" s="60"/>
      <c r="X11" s="60"/>
      <c r="Y11" s="60"/>
    </row>
    <row r="12" spans="1:25" ht="15" customHeight="1">
      <c r="A12" s="60"/>
      <c r="B12" s="60"/>
      <c r="C12" s="393" t="s">
        <v>29</v>
      </c>
      <c r="D12" s="393"/>
      <c r="E12" s="61" t="s">
        <v>24</v>
      </c>
      <c r="F12" s="60" t="s">
        <v>30</v>
      </c>
      <c r="G12" s="60"/>
      <c r="H12" s="60"/>
      <c r="I12" s="60"/>
      <c r="J12" s="60"/>
      <c r="K12" s="60"/>
      <c r="L12" s="60"/>
      <c r="M12" s="393" t="s">
        <v>31</v>
      </c>
      <c r="N12" s="393"/>
      <c r="O12" s="61" t="s">
        <v>24</v>
      </c>
      <c r="P12" s="60" t="s">
        <v>32</v>
      </c>
      <c r="Q12" s="60"/>
      <c r="R12" s="60"/>
      <c r="S12" s="60"/>
      <c r="T12" s="60"/>
      <c r="U12" s="60"/>
      <c r="V12" s="60"/>
      <c r="W12" s="60"/>
      <c r="X12" s="60"/>
      <c r="Y12" s="60"/>
    </row>
    <row r="13" spans="1:25" ht="15" customHeight="1">
      <c r="A13" s="60"/>
      <c r="B13" s="60"/>
      <c r="C13" s="60"/>
      <c r="D13" s="60"/>
      <c r="E13" s="61"/>
      <c r="F13" s="60"/>
      <c r="G13" s="60"/>
      <c r="H13" s="60"/>
      <c r="I13" s="60"/>
      <c r="J13" s="60"/>
      <c r="K13" s="60"/>
      <c r="L13" s="60"/>
      <c r="M13" s="60"/>
      <c r="N13" s="60"/>
      <c r="O13" s="61"/>
      <c r="P13" s="60"/>
      <c r="Q13" s="60"/>
      <c r="R13" s="60"/>
      <c r="S13" s="60"/>
      <c r="T13" s="60"/>
      <c r="U13" s="60"/>
      <c r="V13" s="60"/>
      <c r="W13" s="60"/>
      <c r="X13" s="60"/>
      <c r="Y13" s="60"/>
    </row>
    <row r="14" spans="1:25" ht="15" customHeight="1">
      <c r="A14" s="60"/>
      <c r="B14" s="60"/>
      <c r="C14" s="393" t="s">
        <v>33</v>
      </c>
      <c r="D14" s="393" t="s">
        <v>33</v>
      </c>
      <c r="E14" s="61" t="s">
        <v>24</v>
      </c>
      <c r="F14" s="60" t="s">
        <v>34</v>
      </c>
      <c r="G14" s="60"/>
      <c r="H14" s="60"/>
      <c r="I14" s="60"/>
      <c r="J14" s="60"/>
      <c r="K14" s="60"/>
      <c r="L14" s="60"/>
      <c r="M14" s="393" t="s">
        <v>35</v>
      </c>
      <c r="N14" s="393"/>
      <c r="O14" s="61" t="s">
        <v>24</v>
      </c>
      <c r="P14" s="60" t="s">
        <v>36</v>
      </c>
      <c r="Q14" s="60"/>
      <c r="R14" s="60"/>
      <c r="S14" s="60"/>
      <c r="T14" s="60"/>
      <c r="U14" s="60"/>
      <c r="V14" s="60"/>
      <c r="W14" s="60"/>
      <c r="X14" s="60"/>
      <c r="Y14" s="60"/>
    </row>
    <row r="15" spans="1:25" ht="15" customHeight="1">
      <c r="A15" s="60"/>
      <c r="B15" s="60"/>
      <c r="C15" s="60"/>
      <c r="D15" s="60"/>
      <c r="E15" s="61"/>
      <c r="F15" s="60"/>
      <c r="G15" s="60"/>
      <c r="H15" s="60"/>
      <c r="I15" s="60"/>
      <c r="J15" s="60"/>
      <c r="K15" s="60"/>
      <c r="L15" s="60"/>
      <c r="M15" s="60"/>
      <c r="N15" s="60"/>
      <c r="O15" s="61"/>
      <c r="P15" s="60"/>
      <c r="Q15" s="60"/>
      <c r="R15" s="60"/>
      <c r="S15" s="60"/>
      <c r="T15" s="60"/>
      <c r="U15" s="60"/>
      <c r="V15" s="60"/>
      <c r="W15" s="60"/>
      <c r="X15" s="60"/>
      <c r="Y15" s="60"/>
    </row>
    <row r="16" spans="1:25" ht="15" customHeight="1">
      <c r="A16" s="60"/>
      <c r="B16" s="60"/>
      <c r="C16" s="393" t="s">
        <v>37</v>
      </c>
      <c r="D16" s="393"/>
      <c r="E16" s="61" t="s">
        <v>24</v>
      </c>
      <c r="F16" s="60" t="s">
        <v>38</v>
      </c>
      <c r="G16" s="60"/>
      <c r="H16" s="60"/>
      <c r="I16" s="60"/>
      <c r="J16" s="60"/>
      <c r="K16" s="60"/>
      <c r="L16" s="60"/>
      <c r="M16" s="393" t="s">
        <v>39</v>
      </c>
      <c r="N16" s="393"/>
      <c r="O16" s="61" t="s">
        <v>24</v>
      </c>
      <c r="P16" s="60" t="s">
        <v>40</v>
      </c>
      <c r="Q16" s="60"/>
      <c r="R16" s="60"/>
      <c r="S16" s="60"/>
      <c r="T16" s="60"/>
      <c r="U16" s="60"/>
      <c r="V16" s="60"/>
      <c r="W16" s="60"/>
      <c r="X16" s="60"/>
      <c r="Y16" s="60"/>
    </row>
    <row r="17" spans="1:25" ht="15" customHeight="1">
      <c r="A17" s="60"/>
      <c r="B17" s="60"/>
      <c r="C17" s="60"/>
      <c r="D17" s="60"/>
      <c r="E17" s="61"/>
      <c r="F17" s="60"/>
      <c r="G17" s="60"/>
      <c r="H17" s="60"/>
      <c r="I17" s="60"/>
      <c r="J17" s="60"/>
      <c r="K17" s="60"/>
      <c r="L17" s="60"/>
      <c r="M17" s="60"/>
      <c r="N17" s="60"/>
      <c r="O17" s="61"/>
      <c r="P17" s="60"/>
      <c r="Q17" s="60"/>
      <c r="R17" s="60"/>
      <c r="S17" s="60"/>
      <c r="T17" s="60"/>
      <c r="U17" s="60"/>
      <c r="V17" s="60"/>
      <c r="W17" s="60"/>
      <c r="X17" s="60"/>
      <c r="Y17" s="60"/>
    </row>
    <row r="18" spans="1:25" ht="15" customHeight="1">
      <c r="A18" s="60"/>
      <c r="B18" s="60"/>
      <c r="C18" s="393" t="s">
        <v>41</v>
      </c>
      <c r="D18" s="393"/>
      <c r="E18" s="61" t="s">
        <v>24</v>
      </c>
      <c r="F18" s="60" t="s">
        <v>42</v>
      </c>
      <c r="G18" s="60"/>
      <c r="H18" s="60"/>
      <c r="I18" s="60"/>
      <c r="J18" s="60"/>
      <c r="K18" s="60"/>
      <c r="L18" s="60"/>
      <c r="M18" s="393" t="s">
        <v>43</v>
      </c>
      <c r="N18" s="393"/>
      <c r="O18" s="61" t="s">
        <v>24</v>
      </c>
      <c r="P18" s="60" t="s">
        <v>44</v>
      </c>
      <c r="Q18" s="60"/>
      <c r="R18" s="60"/>
      <c r="S18" s="60"/>
      <c r="T18" s="60"/>
      <c r="U18" s="60"/>
      <c r="V18" s="60"/>
      <c r="W18" s="60"/>
      <c r="X18" s="60"/>
      <c r="Y18" s="60"/>
    </row>
    <row r="19" spans="1:25" ht="15" customHeight="1">
      <c r="A19" s="60"/>
      <c r="B19" s="60"/>
      <c r="C19" s="60"/>
      <c r="D19" s="60"/>
      <c r="E19" s="61"/>
      <c r="F19" s="60"/>
      <c r="G19" s="60"/>
      <c r="H19" s="60"/>
      <c r="I19" s="60"/>
      <c r="J19" s="60"/>
      <c r="K19" s="60"/>
      <c r="L19" s="60"/>
      <c r="M19" s="60"/>
      <c r="N19" s="60"/>
      <c r="O19" s="60"/>
      <c r="P19" s="60"/>
      <c r="Q19" s="60"/>
      <c r="R19" s="60"/>
      <c r="S19" s="60"/>
      <c r="T19" s="60"/>
      <c r="U19" s="60"/>
      <c r="V19" s="60"/>
      <c r="W19" s="60"/>
      <c r="X19" s="60"/>
      <c r="Y19" s="60"/>
    </row>
    <row r="20" spans="1:25" ht="15" customHeight="1">
      <c r="A20" s="60"/>
      <c r="B20" s="60"/>
      <c r="C20" s="393" t="s">
        <v>45</v>
      </c>
      <c r="D20" s="393"/>
      <c r="E20" s="61" t="s">
        <v>24</v>
      </c>
      <c r="F20" s="60" t="s">
        <v>46</v>
      </c>
      <c r="G20" s="60"/>
      <c r="H20" s="60"/>
      <c r="I20" s="60"/>
      <c r="J20" s="60"/>
      <c r="K20" s="60"/>
      <c r="L20" s="60"/>
      <c r="M20" s="393" t="s">
        <v>47</v>
      </c>
      <c r="N20" s="393"/>
      <c r="O20" s="61" t="s">
        <v>24</v>
      </c>
      <c r="P20" s="60" t="s">
        <v>48</v>
      </c>
      <c r="Q20" s="60"/>
      <c r="R20" s="60"/>
      <c r="S20" s="60"/>
      <c r="T20" s="60"/>
      <c r="U20" s="60"/>
      <c r="V20" s="60"/>
      <c r="W20" s="60"/>
      <c r="X20" s="60"/>
      <c r="Y20" s="60"/>
    </row>
    <row r="21" spans="1:25" ht="15" customHeight="1">
      <c r="A21" s="60"/>
      <c r="B21" s="60"/>
      <c r="C21" s="60"/>
      <c r="D21" s="60"/>
      <c r="E21" s="61"/>
      <c r="F21" s="60"/>
      <c r="G21" s="60"/>
      <c r="H21" s="60"/>
      <c r="I21" s="60"/>
      <c r="J21" s="60"/>
      <c r="K21" s="60"/>
      <c r="L21" s="60"/>
      <c r="M21" s="60"/>
      <c r="N21" s="60"/>
      <c r="O21" s="60"/>
      <c r="P21" s="60"/>
      <c r="Q21" s="60"/>
      <c r="R21" s="60"/>
      <c r="S21" s="60"/>
      <c r="T21" s="60"/>
      <c r="U21" s="60"/>
      <c r="V21" s="60"/>
      <c r="W21" s="60"/>
      <c r="X21" s="60"/>
      <c r="Y21" s="60"/>
    </row>
    <row r="22" spans="1:25" ht="15" customHeight="1">
      <c r="A22" s="60"/>
      <c r="B22" s="60"/>
      <c r="C22" s="393" t="s">
        <v>49</v>
      </c>
      <c r="D22" s="393"/>
      <c r="E22" s="61" t="s">
        <v>24</v>
      </c>
      <c r="F22" s="60" t="s">
        <v>50</v>
      </c>
      <c r="G22" s="60"/>
      <c r="H22" s="60"/>
      <c r="I22" s="60"/>
      <c r="J22" s="60"/>
      <c r="K22" s="60"/>
      <c r="L22" s="60"/>
      <c r="M22" s="393" t="s">
        <v>51</v>
      </c>
      <c r="N22" s="393"/>
      <c r="O22" s="61" t="s">
        <v>24</v>
      </c>
      <c r="P22" s="60" t="s">
        <v>52</v>
      </c>
      <c r="Q22" s="60"/>
      <c r="R22" s="60"/>
      <c r="S22" s="60"/>
      <c r="T22" s="60"/>
      <c r="U22" s="60"/>
      <c r="V22" s="60"/>
      <c r="W22" s="60"/>
      <c r="X22" s="60"/>
      <c r="Y22" s="60"/>
    </row>
    <row r="23" spans="1:25" ht="15" customHeight="1">
      <c r="A23" s="60"/>
      <c r="B23" s="60"/>
      <c r="C23" s="60"/>
      <c r="D23" s="60"/>
      <c r="E23" s="61"/>
      <c r="F23" s="60"/>
      <c r="G23" s="60"/>
      <c r="H23" s="60"/>
      <c r="I23" s="60"/>
      <c r="J23" s="60"/>
      <c r="K23" s="60"/>
      <c r="L23" s="60"/>
      <c r="M23" s="60"/>
      <c r="N23" s="60"/>
      <c r="O23" s="60"/>
      <c r="P23" s="60"/>
      <c r="Q23" s="60"/>
      <c r="R23" s="60"/>
      <c r="S23" s="60"/>
      <c r="T23" s="60"/>
      <c r="U23" s="60"/>
      <c r="V23" s="60"/>
      <c r="W23" s="60"/>
      <c r="X23" s="60"/>
      <c r="Y23" s="60"/>
    </row>
    <row r="24" spans="1:25" ht="15" customHeight="1">
      <c r="A24" s="60"/>
      <c r="B24" s="60"/>
      <c r="C24" s="393" t="s">
        <v>53</v>
      </c>
      <c r="D24" s="393"/>
      <c r="E24" s="61" t="s">
        <v>24</v>
      </c>
      <c r="F24" s="60" t="s">
        <v>54</v>
      </c>
      <c r="G24" s="60"/>
      <c r="H24" s="60"/>
      <c r="I24" s="60"/>
      <c r="J24" s="60"/>
      <c r="K24" s="60"/>
      <c r="L24" s="60"/>
      <c r="M24" s="393" t="s">
        <v>55</v>
      </c>
      <c r="N24" s="393"/>
      <c r="O24" s="61" t="s">
        <v>24</v>
      </c>
      <c r="P24" s="60" t="s">
        <v>56</v>
      </c>
      <c r="Q24" s="60"/>
      <c r="R24" s="60"/>
      <c r="S24" s="60"/>
      <c r="T24" s="60"/>
      <c r="U24" s="60"/>
      <c r="V24" s="60"/>
      <c r="W24" s="60"/>
      <c r="X24" s="60"/>
      <c r="Y24" s="60"/>
    </row>
    <row r="25" spans="1:25" ht="15" customHeight="1">
      <c r="A25" s="60"/>
      <c r="B25" s="60"/>
      <c r="C25" s="60"/>
      <c r="D25" s="60"/>
      <c r="E25" s="61"/>
      <c r="F25" s="60"/>
      <c r="G25" s="60"/>
      <c r="H25" s="60"/>
      <c r="I25" s="60"/>
      <c r="J25" s="60"/>
      <c r="K25" s="60"/>
      <c r="L25" s="60"/>
      <c r="M25" s="60"/>
      <c r="N25" s="60"/>
      <c r="O25" s="60"/>
      <c r="P25" s="60"/>
      <c r="Q25" s="60"/>
      <c r="R25" s="60"/>
      <c r="S25" s="60"/>
      <c r="T25" s="60"/>
      <c r="U25" s="60"/>
      <c r="V25" s="60"/>
      <c r="W25" s="60"/>
      <c r="X25" s="60"/>
      <c r="Y25" s="60"/>
    </row>
    <row r="26" spans="1:25" ht="15" customHeight="1">
      <c r="A26" s="60"/>
      <c r="B26" s="60"/>
      <c r="C26" s="393" t="s">
        <v>57</v>
      </c>
      <c r="D26" s="393"/>
      <c r="E26" s="61" t="s">
        <v>24</v>
      </c>
      <c r="F26" s="60" t="s">
        <v>58</v>
      </c>
      <c r="G26" s="60"/>
      <c r="H26" s="60"/>
      <c r="I26" s="60"/>
      <c r="J26" s="60"/>
      <c r="K26" s="60"/>
      <c r="L26" s="60"/>
      <c r="M26" s="393" t="s">
        <v>59</v>
      </c>
      <c r="N26" s="393"/>
      <c r="O26" s="61" t="s">
        <v>24</v>
      </c>
      <c r="P26" s="60" t="s">
        <v>60</v>
      </c>
      <c r="Q26" s="60"/>
      <c r="R26" s="60"/>
      <c r="S26" s="60"/>
      <c r="T26" s="60"/>
      <c r="U26" s="60"/>
      <c r="V26" s="60"/>
      <c r="W26" s="60"/>
      <c r="X26" s="60"/>
      <c r="Y26" s="60"/>
    </row>
    <row r="27" spans="1:25" ht="15" customHeight="1">
      <c r="A27" s="60"/>
      <c r="B27" s="60"/>
      <c r="C27" s="60"/>
      <c r="D27" s="60"/>
      <c r="E27" s="61"/>
      <c r="F27" s="60"/>
      <c r="G27" s="60"/>
      <c r="H27" s="60"/>
      <c r="I27" s="60"/>
      <c r="J27" s="60"/>
      <c r="K27" s="60"/>
      <c r="L27" s="60"/>
      <c r="M27" s="60"/>
      <c r="N27" s="60"/>
      <c r="O27" s="60"/>
      <c r="P27" s="60"/>
      <c r="Q27" s="60"/>
      <c r="R27" s="60"/>
      <c r="S27" s="60"/>
      <c r="T27" s="60"/>
      <c r="U27" s="60"/>
      <c r="V27" s="60"/>
      <c r="W27" s="60"/>
      <c r="X27" s="60"/>
      <c r="Y27" s="60"/>
    </row>
    <row r="28" spans="1:25" ht="15" customHeight="1">
      <c r="A28" s="60"/>
      <c r="B28" s="60"/>
      <c r="C28" s="393" t="s">
        <v>61</v>
      </c>
      <c r="D28" s="393"/>
      <c r="E28" s="61" t="s">
        <v>24</v>
      </c>
      <c r="F28" s="60" t="s">
        <v>62</v>
      </c>
      <c r="G28" s="60"/>
      <c r="H28" s="60"/>
      <c r="I28" s="60"/>
      <c r="J28" s="60"/>
      <c r="K28" s="60"/>
      <c r="L28" s="60"/>
      <c r="M28" s="393" t="s">
        <v>63</v>
      </c>
      <c r="N28" s="393"/>
      <c r="O28" s="61" t="s">
        <v>24</v>
      </c>
      <c r="P28" s="60" t="s">
        <v>64</v>
      </c>
      <c r="Q28" s="60"/>
      <c r="R28" s="60"/>
      <c r="S28" s="60"/>
      <c r="T28" s="60"/>
      <c r="U28" s="60"/>
      <c r="V28" s="60"/>
      <c r="W28" s="60"/>
      <c r="X28" s="60"/>
      <c r="Y28" s="60"/>
    </row>
    <row r="29" spans="1:25" ht="15" customHeight="1">
      <c r="A29" s="60"/>
      <c r="B29" s="60"/>
      <c r="C29" s="60"/>
      <c r="D29" s="60"/>
      <c r="E29" s="61"/>
      <c r="F29" s="60"/>
      <c r="G29" s="60"/>
      <c r="H29" s="60"/>
      <c r="I29" s="60"/>
      <c r="J29" s="60"/>
      <c r="K29" s="60"/>
      <c r="L29" s="60"/>
      <c r="M29" s="60"/>
      <c r="N29" s="60"/>
      <c r="O29" s="60"/>
      <c r="P29" s="60"/>
      <c r="Q29" s="60"/>
      <c r="R29" s="60"/>
      <c r="S29" s="60"/>
      <c r="T29" s="60"/>
      <c r="U29" s="60"/>
      <c r="V29" s="60"/>
      <c r="W29" s="60"/>
      <c r="X29" s="60"/>
      <c r="Y29" s="60"/>
    </row>
    <row r="30" spans="1:25" ht="15" customHeight="1">
      <c r="A30" s="60"/>
      <c r="B30" s="60"/>
      <c r="C30" s="393" t="s">
        <v>65</v>
      </c>
      <c r="D30" s="393"/>
      <c r="E30" s="61" t="s">
        <v>24</v>
      </c>
      <c r="F30" s="60" t="s">
        <v>66</v>
      </c>
      <c r="G30" s="60"/>
      <c r="H30" s="60"/>
      <c r="I30" s="60"/>
      <c r="J30" s="60"/>
      <c r="K30" s="60"/>
      <c r="L30" s="60"/>
      <c r="M30" s="393" t="s">
        <v>67</v>
      </c>
      <c r="N30" s="393"/>
      <c r="O30" s="61" t="s">
        <v>24</v>
      </c>
      <c r="P30" s="60" t="s">
        <v>68</v>
      </c>
      <c r="Q30" s="60"/>
      <c r="R30" s="60"/>
      <c r="S30" s="60"/>
      <c r="T30" s="60"/>
      <c r="U30" s="60"/>
      <c r="V30" s="60"/>
      <c r="W30" s="60"/>
      <c r="X30" s="60"/>
      <c r="Y30" s="60"/>
    </row>
    <row r="31" spans="1:25" ht="15" customHeight="1">
      <c r="A31" s="60"/>
      <c r="B31" s="60"/>
      <c r="C31" s="60"/>
      <c r="D31" s="60"/>
      <c r="E31" s="61"/>
      <c r="F31" s="60"/>
      <c r="G31" s="60"/>
      <c r="H31" s="60"/>
      <c r="I31" s="60"/>
      <c r="J31" s="60"/>
      <c r="K31" s="60"/>
      <c r="L31" s="60"/>
      <c r="M31" s="60"/>
      <c r="N31" s="60"/>
      <c r="O31" s="60"/>
      <c r="P31" s="60"/>
      <c r="Q31" s="60"/>
      <c r="R31" s="60"/>
      <c r="S31" s="60"/>
      <c r="T31" s="60"/>
      <c r="U31" s="60"/>
      <c r="V31" s="60"/>
      <c r="W31" s="60"/>
      <c r="X31" s="60"/>
      <c r="Y31" s="60"/>
    </row>
    <row r="32" spans="1:25" ht="15" customHeight="1">
      <c r="A32" s="60"/>
      <c r="B32" s="60"/>
      <c r="C32" s="393" t="s">
        <v>69</v>
      </c>
      <c r="D32" s="393"/>
      <c r="E32" s="61" t="s">
        <v>24</v>
      </c>
      <c r="F32" s="60" t="s">
        <v>70</v>
      </c>
      <c r="G32" s="60"/>
      <c r="H32" s="60"/>
      <c r="I32" s="60"/>
      <c r="J32" s="60"/>
      <c r="K32" s="60"/>
      <c r="L32" s="60"/>
      <c r="M32" s="393" t="s">
        <v>71</v>
      </c>
      <c r="N32" s="393"/>
      <c r="O32" s="61" t="s">
        <v>24</v>
      </c>
      <c r="P32" s="60" t="s">
        <v>72</v>
      </c>
      <c r="Q32" s="60"/>
      <c r="R32" s="60"/>
      <c r="S32" s="60"/>
      <c r="T32" s="60"/>
      <c r="U32" s="60"/>
      <c r="V32" s="60"/>
      <c r="W32" s="60"/>
      <c r="X32" s="60"/>
      <c r="Y32" s="60"/>
    </row>
    <row r="33" spans="1:25" ht="15" customHeight="1">
      <c r="A33" s="60"/>
      <c r="B33" s="60"/>
      <c r="C33" s="60"/>
      <c r="D33" s="60"/>
      <c r="E33" s="61"/>
      <c r="F33" s="60"/>
      <c r="G33" s="60"/>
      <c r="H33" s="60"/>
      <c r="I33" s="60"/>
      <c r="J33" s="60"/>
      <c r="K33" s="60"/>
      <c r="L33" s="60"/>
      <c r="M33" s="60"/>
      <c r="N33" s="60"/>
      <c r="O33" s="60"/>
      <c r="P33" s="60"/>
      <c r="Q33" s="60"/>
      <c r="R33" s="60"/>
      <c r="S33" s="60"/>
      <c r="T33" s="60"/>
      <c r="U33" s="60"/>
      <c r="V33" s="60"/>
      <c r="W33" s="60"/>
      <c r="X33" s="60"/>
      <c r="Y33" s="60"/>
    </row>
    <row r="34" spans="1:25" ht="15" customHeight="1">
      <c r="A34" s="60"/>
      <c r="B34" s="60"/>
      <c r="C34" s="393" t="s">
        <v>73</v>
      </c>
      <c r="D34" s="393"/>
      <c r="E34" s="61" t="s">
        <v>24</v>
      </c>
      <c r="F34" s="60" t="s">
        <v>74</v>
      </c>
      <c r="G34" s="60"/>
      <c r="H34" s="60"/>
      <c r="I34" s="60"/>
      <c r="J34" s="60"/>
      <c r="K34" s="60"/>
      <c r="L34" s="60"/>
      <c r="M34" s="393" t="s">
        <v>75</v>
      </c>
      <c r="N34" s="393"/>
      <c r="O34" s="61" t="s">
        <v>24</v>
      </c>
      <c r="P34" s="60" t="s">
        <v>76</v>
      </c>
      <c r="Q34" s="60"/>
      <c r="R34" s="60"/>
      <c r="S34" s="60"/>
      <c r="T34" s="60"/>
      <c r="U34" s="60"/>
      <c r="V34" s="60"/>
      <c r="W34" s="60"/>
      <c r="X34" s="60"/>
      <c r="Y34" s="60"/>
    </row>
    <row r="35" spans="1:25" ht="15" customHeight="1">
      <c r="A35" s="60"/>
      <c r="B35" s="60"/>
      <c r="C35" s="60"/>
      <c r="D35" s="60"/>
      <c r="E35" s="61"/>
      <c r="F35" s="60"/>
      <c r="G35" s="60"/>
      <c r="H35" s="60"/>
      <c r="I35" s="60"/>
      <c r="J35" s="60"/>
      <c r="K35" s="60"/>
      <c r="L35" s="60"/>
      <c r="M35" s="60"/>
      <c r="N35" s="60"/>
      <c r="O35" s="60"/>
      <c r="P35" s="60"/>
      <c r="Q35" s="60"/>
      <c r="R35" s="60"/>
      <c r="S35" s="60"/>
      <c r="T35" s="60"/>
      <c r="U35" s="60"/>
      <c r="V35" s="60"/>
      <c r="W35" s="60"/>
      <c r="X35" s="60"/>
      <c r="Y35" s="60"/>
    </row>
    <row r="36" spans="1:25" ht="15" customHeight="1">
      <c r="A36" s="60"/>
      <c r="B36" s="60"/>
      <c r="C36" s="393" t="s">
        <v>77</v>
      </c>
      <c r="D36" s="393"/>
      <c r="E36" s="61" t="s">
        <v>24</v>
      </c>
      <c r="F36" s="60" t="s">
        <v>78</v>
      </c>
      <c r="G36" s="60"/>
      <c r="H36" s="60"/>
      <c r="I36" s="60"/>
      <c r="J36" s="60"/>
      <c r="K36" s="60"/>
      <c r="L36" s="60"/>
      <c r="M36" s="393" t="s">
        <v>79</v>
      </c>
      <c r="N36" s="393"/>
      <c r="O36" s="61" t="s">
        <v>24</v>
      </c>
      <c r="P36" s="60" t="s">
        <v>80</v>
      </c>
      <c r="Q36" s="60"/>
      <c r="R36" s="60"/>
      <c r="S36" s="60"/>
      <c r="T36" s="60"/>
      <c r="U36" s="60"/>
      <c r="V36" s="60"/>
      <c r="W36" s="60"/>
      <c r="X36" s="60"/>
      <c r="Y36" s="60"/>
    </row>
    <row r="37" spans="1:25" ht="15" customHeight="1">
      <c r="A37" s="60"/>
      <c r="B37" s="60"/>
      <c r="C37" s="60"/>
      <c r="D37" s="60"/>
      <c r="E37" s="61"/>
      <c r="F37" s="60"/>
      <c r="G37" s="60"/>
      <c r="H37" s="60"/>
      <c r="I37" s="60"/>
      <c r="J37" s="60"/>
      <c r="K37" s="60"/>
      <c r="L37" s="60"/>
      <c r="M37" s="60"/>
      <c r="N37" s="60"/>
      <c r="O37" s="60"/>
      <c r="P37" s="60"/>
      <c r="Q37" s="60"/>
      <c r="R37" s="60"/>
      <c r="S37" s="60"/>
      <c r="T37" s="60"/>
      <c r="U37" s="60"/>
      <c r="V37" s="60"/>
      <c r="W37" s="60"/>
      <c r="X37" s="60"/>
      <c r="Y37" s="60"/>
    </row>
    <row r="38" spans="1:25" ht="15" customHeight="1">
      <c r="A38" s="60"/>
      <c r="B38" s="60"/>
      <c r="C38" s="393" t="s">
        <v>81</v>
      </c>
      <c r="D38" s="393"/>
      <c r="E38" s="61" t="s">
        <v>24</v>
      </c>
      <c r="F38" s="60" t="s">
        <v>82</v>
      </c>
      <c r="G38" s="60"/>
      <c r="H38" s="60"/>
      <c r="I38" s="60"/>
      <c r="J38" s="60"/>
      <c r="K38" s="60"/>
      <c r="L38" s="60"/>
      <c r="M38" s="393" t="s">
        <v>83</v>
      </c>
      <c r="N38" s="393"/>
      <c r="O38" s="61" t="s">
        <v>24</v>
      </c>
      <c r="P38" s="60" t="s">
        <v>84</v>
      </c>
      <c r="Q38" s="60"/>
      <c r="R38" s="60"/>
      <c r="S38" s="60"/>
      <c r="T38" s="60"/>
      <c r="U38" s="60"/>
      <c r="V38" s="60"/>
      <c r="W38" s="60"/>
      <c r="X38" s="60"/>
      <c r="Y38" s="60"/>
    </row>
    <row r="39" spans="1:25" ht="15" customHeight="1">
      <c r="A39" s="60"/>
      <c r="B39" s="60"/>
      <c r="C39" s="60"/>
      <c r="D39" s="60"/>
      <c r="E39" s="61"/>
      <c r="F39" s="60"/>
      <c r="G39" s="60"/>
      <c r="H39" s="60"/>
      <c r="I39" s="60"/>
      <c r="J39" s="60"/>
      <c r="K39" s="60"/>
      <c r="L39" s="60"/>
      <c r="M39" s="60"/>
      <c r="N39" s="60"/>
      <c r="O39" s="60"/>
      <c r="P39" s="60"/>
      <c r="Q39" s="60"/>
      <c r="R39" s="60"/>
      <c r="S39" s="60"/>
      <c r="T39" s="60"/>
      <c r="U39" s="60"/>
      <c r="V39" s="60"/>
      <c r="W39" s="60"/>
      <c r="X39" s="60"/>
      <c r="Y39" s="60"/>
    </row>
    <row r="40" spans="1:25" ht="15" customHeight="1">
      <c r="A40" s="60"/>
      <c r="B40" s="60"/>
      <c r="C40" s="393" t="s">
        <v>85</v>
      </c>
      <c r="D40" s="393"/>
      <c r="E40" s="61" t="s">
        <v>24</v>
      </c>
      <c r="F40" s="60" t="s">
        <v>86</v>
      </c>
      <c r="G40" s="60"/>
      <c r="H40" s="60"/>
      <c r="I40" s="60"/>
      <c r="J40" s="60"/>
      <c r="K40" s="60"/>
      <c r="L40" s="60"/>
      <c r="M40" s="60"/>
      <c r="N40" s="60"/>
      <c r="O40" s="61"/>
      <c r="P40" s="60"/>
      <c r="Q40" s="60"/>
      <c r="R40" s="60"/>
      <c r="S40" s="60"/>
      <c r="T40" s="60"/>
      <c r="U40" s="60"/>
      <c r="V40" s="60"/>
      <c r="W40" s="60"/>
      <c r="X40" s="60"/>
      <c r="Y40" s="60"/>
    </row>
    <row r="41" spans="1:25" ht="1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row>
    <row r="42" spans="1:25" ht="15" customHeight="1" thickBot="1">
      <c r="A42" s="60"/>
      <c r="B42" s="60"/>
      <c r="C42" s="393"/>
      <c r="D42" s="393"/>
      <c r="E42" s="61"/>
      <c r="F42" s="60"/>
      <c r="G42" s="60"/>
      <c r="H42" s="60"/>
      <c r="I42" s="60"/>
      <c r="J42" s="60"/>
      <c r="K42" s="60"/>
      <c r="L42" s="60"/>
      <c r="M42" s="393"/>
      <c r="N42" s="393"/>
      <c r="O42" s="61"/>
      <c r="P42" s="60"/>
      <c r="Q42" s="60"/>
      <c r="R42" s="60"/>
      <c r="S42" s="60"/>
      <c r="T42" s="60"/>
      <c r="U42" s="60"/>
      <c r="V42" s="60"/>
      <c r="W42" s="60"/>
      <c r="X42" s="60"/>
      <c r="Y42" s="60"/>
    </row>
    <row r="43" spans="1:25" ht="15" customHeight="1">
      <c r="A43" s="396"/>
      <c r="B43" s="382"/>
      <c r="C43" s="382"/>
      <c r="D43" s="382"/>
      <c r="E43" s="382"/>
      <c r="F43" s="382"/>
      <c r="G43" s="382"/>
      <c r="H43" s="382"/>
      <c r="I43" s="382"/>
      <c r="J43" s="382"/>
      <c r="K43" s="382"/>
      <c r="L43" s="382"/>
      <c r="M43" s="382"/>
      <c r="N43" s="382"/>
      <c r="O43" s="382"/>
      <c r="P43" s="382"/>
      <c r="Q43" s="382"/>
      <c r="R43" s="382"/>
      <c r="S43" s="382"/>
      <c r="T43" s="382"/>
      <c r="U43" s="382"/>
      <c r="V43" s="382"/>
      <c r="W43" s="382"/>
      <c r="X43" s="382"/>
      <c r="Y43" s="385"/>
    </row>
    <row r="44" spans="1:25" ht="15" customHeight="1">
      <c r="A44" s="380"/>
      <c r="B44" s="381"/>
      <c r="C44" s="381"/>
      <c r="D44" s="381"/>
      <c r="E44" s="381"/>
      <c r="F44" s="381"/>
      <c r="G44" s="381"/>
      <c r="H44" s="381"/>
      <c r="I44" s="381"/>
      <c r="J44" s="381"/>
      <c r="K44" s="381"/>
      <c r="L44" s="381"/>
      <c r="M44" s="381"/>
      <c r="N44" s="381"/>
      <c r="O44" s="381"/>
      <c r="P44" s="381"/>
      <c r="Q44" s="381"/>
      <c r="R44" s="381"/>
      <c r="S44" s="381"/>
      <c r="T44" s="381"/>
      <c r="U44" s="381"/>
      <c r="V44" s="381"/>
      <c r="W44" s="381"/>
      <c r="X44" s="381"/>
      <c r="Y44" s="383"/>
    </row>
    <row r="45" spans="1:25" ht="15" customHeight="1">
      <c r="A45" s="380"/>
      <c r="B45" s="381"/>
      <c r="C45" s="381"/>
      <c r="D45" s="381"/>
      <c r="E45" s="381"/>
      <c r="F45" s="381"/>
      <c r="G45" s="381"/>
      <c r="H45" s="381"/>
      <c r="I45" s="381"/>
      <c r="J45" s="381"/>
      <c r="K45" s="381"/>
      <c r="L45" s="381"/>
      <c r="M45" s="381"/>
      <c r="N45" s="381"/>
      <c r="O45" s="381"/>
      <c r="P45" s="381"/>
      <c r="Q45" s="381"/>
      <c r="R45" s="381"/>
      <c r="S45" s="381"/>
      <c r="T45" s="381"/>
      <c r="U45" s="381"/>
      <c r="V45" s="381"/>
      <c r="W45" s="381"/>
      <c r="X45" s="381"/>
      <c r="Y45" s="383"/>
    </row>
    <row r="46" spans="1:25" ht="15" customHeight="1">
      <c r="A46" s="380"/>
      <c r="B46" s="381"/>
      <c r="C46" s="381"/>
      <c r="D46" s="381"/>
      <c r="E46" s="381"/>
      <c r="F46" s="381"/>
      <c r="G46" s="381"/>
      <c r="H46" s="381"/>
      <c r="I46" s="381"/>
      <c r="J46" s="381"/>
      <c r="K46" s="381"/>
      <c r="L46" s="381"/>
      <c r="M46" s="381"/>
      <c r="N46" s="381"/>
      <c r="O46" s="381"/>
      <c r="P46" s="381"/>
      <c r="Q46" s="381"/>
      <c r="R46" s="381"/>
      <c r="S46" s="381"/>
      <c r="T46" s="381"/>
      <c r="U46" s="381"/>
      <c r="V46" s="381"/>
      <c r="W46" s="381"/>
      <c r="X46" s="381"/>
      <c r="Y46" s="383"/>
    </row>
    <row r="47" spans="1:25" ht="15" customHeight="1">
      <c r="A47" s="380"/>
      <c r="B47" s="381"/>
      <c r="C47" s="381"/>
      <c r="D47" s="381"/>
      <c r="E47" s="381"/>
      <c r="F47" s="381"/>
      <c r="G47" s="381"/>
      <c r="H47" s="381"/>
      <c r="I47" s="381"/>
      <c r="J47" s="381"/>
      <c r="K47" s="381"/>
      <c r="L47" s="381"/>
      <c r="M47" s="381"/>
      <c r="N47" s="381"/>
      <c r="O47" s="381"/>
      <c r="P47" s="381"/>
      <c r="Q47" s="381"/>
      <c r="R47" s="381"/>
      <c r="S47" s="381"/>
      <c r="T47" s="381"/>
      <c r="U47" s="381"/>
      <c r="V47" s="381"/>
      <c r="W47" s="381"/>
      <c r="X47" s="381"/>
      <c r="Y47" s="383"/>
    </row>
    <row r="48" spans="1:25" ht="15" customHeight="1" thickBot="1">
      <c r="A48" s="394" t="s">
        <v>14</v>
      </c>
      <c r="B48" s="384"/>
      <c r="C48" s="395">
        <f>'Cover sheet'!B27</f>
        <v>0</v>
      </c>
      <c r="D48" s="384"/>
      <c r="E48" s="384"/>
      <c r="F48" s="384"/>
      <c r="G48" s="384" t="s">
        <v>15</v>
      </c>
      <c r="H48" s="384"/>
      <c r="I48" s="384"/>
      <c r="J48" s="384"/>
      <c r="K48" s="384"/>
      <c r="L48" s="384"/>
      <c r="M48" s="384"/>
      <c r="N48" s="384"/>
      <c r="O48" s="384"/>
      <c r="P48" s="384"/>
      <c r="Q48" s="384" t="s">
        <v>12</v>
      </c>
      <c r="R48" s="384"/>
      <c r="S48" s="384"/>
      <c r="T48" s="384" t="s">
        <v>16</v>
      </c>
      <c r="U48" s="384"/>
      <c r="V48" s="384"/>
      <c r="W48" s="384" t="s">
        <v>87</v>
      </c>
      <c r="X48" s="384"/>
      <c r="Y48" s="392"/>
    </row>
    <row r="49" spans="1:25" ht="15" customHeight="1">
      <c r="A49" s="386" t="s">
        <v>18</v>
      </c>
      <c r="B49" s="388"/>
      <c r="C49" s="386" t="s">
        <v>13</v>
      </c>
      <c r="D49" s="387"/>
      <c r="E49" s="387"/>
      <c r="F49" s="388"/>
      <c r="G49" s="386" t="s">
        <v>88</v>
      </c>
      <c r="H49" s="387"/>
      <c r="I49" s="387"/>
      <c r="J49" s="387"/>
      <c r="K49" s="387"/>
      <c r="L49" s="387"/>
      <c r="M49" s="387"/>
      <c r="N49" s="387"/>
      <c r="O49" s="387"/>
      <c r="P49" s="388"/>
      <c r="Q49" s="386" t="s">
        <v>20</v>
      </c>
      <c r="R49" s="387"/>
      <c r="S49" s="388"/>
      <c r="T49" s="386" t="s">
        <v>89</v>
      </c>
      <c r="U49" s="387"/>
      <c r="V49" s="388"/>
      <c r="W49" s="386" t="s">
        <v>22</v>
      </c>
      <c r="X49" s="387"/>
      <c r="Y49" s="388"/>
    </row>
    <row r="50" spans="1:25" ht="15" customHeight="1" thickBot="1">
      <c r="A50" s="389"/>
      <c r="B50" s="391"/>
      <c r="C50" s="389"/>
      <c r="D50" s="390"/>
      <c r="E50" s="390"/>
      <c r="F50" s="391"/>
      <c r="G50" s="389"/>
      <c r="H50" s="390"/>
      <c r="I50" s="390"/>
      <c r="J50" s="390"/>
      <c r="K50" s="390"/>
      <c r="L50" s="390"/>
      <c r="M50" s="390"/>
      <c r="N50" s="390"/>
      <c r="O50" s="390"/>
      <c r="P50" s="391"/>
      <c r="Q50" s="389"/>
      <c r="R50" s="390"/>
      <c r="S50" s="391"/>
      <c r="T50" s="389"/>
      <c r="U50" s="390"/>
      <c r="V50" s="391"/>
      <c r="W50" s="389"/>
      <c r="X50" s="390"/>
      <c r="Y50" s="391"/>
    </row>
  </sheetData>
  <customSheetViews>
    <customSheetView guid="{8E8F94B8-32E0-4E0F-AFA7-579F1B47CB3E}" showPageBreaks="1" printArea="1" state="hidden" view="pageBreakPreview" topLeftCell="A34">
      <selection activeCell="P11" sqref="P11"/>
      <pageMargins left="0.7" right="0.7" top="0.75" bottom="0.75" header="0.3" footer="0.3"/>
      <pageSetup paperSize="9" orientation="portrait" r:id="rId1"/>
    </customSheetView>
    <customSheetView guid="{CBF53F97-ED2F-4FF6-AB07-39F040F3005A}" showPageBreaks="1" printArea="1" state="hidden" view="pageBreakPreview" topLeftCell="A34">
      <selection activeCell="P11" sqref="P11"/>
      <pageMargins left="0.7" right="0.7" top="0.75" bottom="0.75" header="0.3" footer="0.3"/>
      <pageSetup paperSize="9" orientation="portrait" r:id="rId2"/>
    </customSheetView>
    <customSheetView guid="{14464C38-68B9-4188-97D7-7378D773AFD5}" showPageBreaks="1" printArea="1" state="hidden" view="pageBreakPreview" topLeftCell="A34">
      <selection activeCell="P11" sqref="P11"/>
      <pageMargins left="0.7" right="0.7" top="0.75" bottom="0.75" header="0.3" footer="0.3"/>
      <pageSetup paperSize="9" orientation="portrait" r:id="rId3"/>
    </customSheetView>
    <customSheetView guid="{9B10B627-434C-4F46-A642-4F5EA1395AB4}" showPageBreaks="1" printArea="1" state="hidden" view="pageBreakPreview" topLeftCell="A34">
      <selection activeCell="P11" sqref="P11"/>
      <pageMargins left="0.7" right="0.7" top="0.75" bottom="0.75" header="0.3" footer="0.3"/>
      <pageSetup paperSize="9" orientation="portrait" r:id="rId4"/>
    </customSheetView>
    <customSheetView guid="{65692F4D-A6F4-4F51-A6D0-4E4EC15EED11}" showPageBreaks="1" printArea="1" state="hidden" view="pageBreakPreview" topLeftCell="A34">
      <selection activeCell="P11" sqref="P11"/>
      <pageMargins left="0.7" right="0.7" top="0.75" bottom="0.75" header="0.3" footer="0.3"/>
      <pageSetup paperSize="9" orientation="portrait" r:id="rId5"/>
    </customSheetView>
    <customSheetView guid="{4B2152C0-165D-47F1-8933-57B3261F1379}" showPageBreaks="1" printArea="1" state="hidden" view="pageBreakPreview" topLeftCell="A34">
      <selection activeCell="P11" sqref="P11"/>
      <pageMargins left="0.7" right="0.7" top="0.75" bottom="0.75" header="0.3" footer="0.3"/>
      <pageSetup paperSize="9" orientation="portrait" r:id="rId6"/>
    </customSheetView>
    <customSheetView guid="{9313348B-AF43-459E-B141-13E53440B183}" showPageBreaks="1" printArea="1" state="hidden" view="pageBreakPreview" topLeftCell="A34">
      <selection activeCell="P11" sqref="P11"/>
      <pageMargins left="0.7" right="0.7" top="0.75" bottom="0.75" header="0.3" footer="0.3"/>
      <pageSetup paperSize="9" orientation="portrait" r:id="rId7"/>
    </customSheetView>
  </customSheetViews>
  <mergeCells count="79">
    <mergeCell ref="C20:D20"/>
    <mergeCell ref="C40:D40"/>
    <mergeCell ref="C8:W9"/>
    <mergeCell ref="C12:D12"/>
    <mergeCell ref="C14:D14"/>
    <mergeCell ref="C16:D16"/>
    <mergeCell ref="C18:D18"/>
    <mergeCell ref="M22:N22"/>
    <mergeCell ref="M24:N24"/>
    <mergeCell ref="M12:N12"/>
    <mergeCell ref="M14:N14"/>
    <mergeCell ref="M16:N16"/>
    <mergeCell ref="M18:N18"/>
    <mergeCell ref="M20:N20"/>
    <mergeCell ref="C42:D42"/>
    <mergeCell ref="C34:D34"/>
    <mergeCell ref="C36:D36"/>
    <mergeCell ref="C38:D38"/>
    <mergeCell ref="C22:D22"/>
    <mergeCell ref="C24:D24"/>
    <mergeCell ref="C26:D26"/>
    <mergeCell ref="C28:D28"/>
    <mergeCell ref="C30:D30"/>
    <mergeCell ref="C32:D32"/>
    <mergeCell ref="A49:B50"/>
    <mergeCell ref="C49:F50"/>
    <mergeCell ref="M38:N38"/>
    <mergeCell ref="M42:N42"/>
    <mergeCell ref="M26:N26"/>
    <mergeCell ref="M28:N28"/>
    <mergeCell ref="M30:N30"/>
    <mergeCell ref="M32:N32"/>
    <mergeCell ref="M34:N34"/>
    <mergeCell ref="M36:N36"/>
    <mergeCell ref="A48:B48"/>
    <mergeCell ref="C48:F48"/>
    <mergeCell ref="G48:P48"/>
    <mergeCell ref="G49:P50"/>
    <mergeCell ref="A43:B43"/>
    <mergeCell ref="C43:F43"/>
    <mergeCell ref="Q48:S48"/>
    <mergeCell ref="T48:V48"/>
    <mergeCell ref="W43:Y43"/>
    <mergeCell ref="W49:Y50"/>
    <mergeCell ref="T49:V50"/>
    <mergeCell ref="Q49:S50"/>
    <mergeCell ref="W48:Y48"/>
    <mergeCell ref="W47:Y47"/>
    <mergeCell ref="W46:Y46"/>
    <mergeCell ref="G43:P43"/>
    <mergeCell ref="Q43:S43"/>
    <mergeCell ref="T43:V43"/>
    <mergeCell ref="W45:Y45"/>
    <mergeCell ref="A44:B44"/>
    <mergeCell ref="C44:F44"/>
    <mergeCell ref="G44:P44"/>
    <mergeCell ref="Q44:S44"/>
    <mergeCell ref="T44:V44"/>
    <mergeCell ref="W44:Y44"/>
    <mergeCell ref="A45:B45"/>
    <mergeCell ref="C45:F45"/>
    <mergeCell ref="G45:P45"/>
    <mergeCell ref="Q45:S45"/>
    <mergeCell ref="T45:V45"/>
    <mergeCell ref="A46:B46"/>
    <mergeCell ref="C46:F46"/>
    <mergeCell ref="G46:P46"/>
    <mergeCell ref="Q46:S46"/>
    <mergeCell ref="T46:V46"/>
    <mergeCell ref="A47:B47"/>
    <mergeCell ref="C47:F47"/>
    <mergeCell ref="G47:P47"/>
    <mergeCell ref="Q47:S47"/>
    <mergeCell ref="T47:V47"/>
    <mergeCell ref="H2:S2"/>
    <mergeCell ref="H3:S3"/>
    <mergeCell ref="H4:S4"/>
    <mergeCell ref="H5:I5"/>
    <mergeCell ref="N5:Q5"/>
  </mergeCells>
  <pageMargins left="0.7" right="0.7" top="0.75" bottom="0.75" header="0.3" footer="0.3"/>
  <pageSetup paperSize="9"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8627-6B9D-480A-B76E-210F71AE19D9}">
  <sheetPr codeName="Sheet3">
    <pageSetUpPr fitToPage="1"/>
  </sheetPr>
  <dimension ref="A1:DH182"/>
  <sheetViews>
    <sheetView view="pageBreakPreview" topLeftCell="A4" zoomScale="115" zoomScaleNormal="70" zoomScaleSheetLayoutView="115" workbookViewId="0">
      <selection activeCell="BP20" sqref="BP20:BS20"/>
    </sheetView>
  </sheetViews>
  <sheetFormatPr defaultColWidth="2.44140625" defaultRowHeight="12.75" customHeight="1"/>
  <cols>
    <col min="20" max="35" width="2.44140625" customWidth="1"/>
    <col min="36" max="37" width="2.44140625" bestFit="1" customWidth="1"/>
    <col min="38" max="69" width="2.44140625" customWidth="1"/>
    <col min="70" max="73" width="2.44140625" bestFit="1" customWidth="1"/>
    <col min="74" max="75" width="2.44140625" customWidth="1"/>
    <col min="100" max="100" width="6.44140625" customWidth="1"/>
    <col min="101" max="101" width="7.88671875" customWidth="1"/>
    <col min="102" max="102" width="10.88671875" bestFit="1" customWidth="1"/>
    <col min="103" max="103" width="9.109375" customWidth="1"/>
    <col min="104" max="104" width="8.6640625" style="106" customWidth="1"/>
    <col min="105" max="105" width="10.33203125" style="106" customWidth="1"/>
    <col min="106" max="106" width="9.33203125" style="106" customWidth="1"/>
    <col min="107" max="114" width="4.88671875" customWidth="1"/>
  </cols>
  <sheetData>
    <row r="1" spans="1:112" ht="12.75" customHeight="1">
      <c r="A1" s="435" t="s">
        <v>4</v>
      </c>
      <c r="B1" s="436"/>
      <c r="C1" s="436"/>
      <c r="D1" s="436"/>
      <c r="E1" s="436"/>
      <c r="F1" s="436"/>
      <c r="G1" s="436"/>
      <c r="H1" s="436"/>
      <c r="I1" s="436"/>
      <c r="J1" s="436"/>
      <c r="K1" s="436"/>
      <c r="L1" s="436"/>
      <c r="M1" s="436"/>
      <c r="N1" s="436"/>
      <c r="O1" s="436"/>
      <c r="P1" s="436"/>
      <c r="Q1" s="436"/>
      <c r="R1" s="436"/>
      <c r="S1" s="436"/>
      <c r="T1" s="436"/>
      <c r="U1" s="436"/>
      <c r="V1" s="436"/>
      <c r="W1" s="436"/>
      <c r="X1" s="436"/>
      <c r="Y1" s="436"/>
      <c r="Z1" s="436"/>
      <c r="AA1" s="436"/>
      <c r="AB1" s="436"/>
      <c r="AC1" s="436"/>
      <c r="AD1" s="436"/>
      <c r="AE1" s="436"/>
      <c r="AF1" s="436"/>
      <c r="AG1" s="436"/>
      <c r="AH1" s="436"/>
      <c r="AI1" s="436"/>
      <c r="AJ1" s="436"/>
      <c r="AK1" s="436"/>
      <c r="AL1" s="436"/>
      <c r="AM1" s="436"/>
      <c r="AN1" s="436"/>
      <c r="AO1" s="436"/>
      <c r="AP1" s="436"/>
      <c r="AQ1" s="436"/>
      <c r="AR1" s="436"/>
      <c r="AS1" s="436"/>
      <c r="AT1" s="436"/>
      <c r="AU1" s="436"/>
      <c r="AV1" s="436"/>
      <c r="AW1" s="436"/>
      <c r="AX1" s="436"/>
      <c r="AY1" s="436"/>
      <c r="AZ1" s="436"/>
      <c r="BA1" s="436"/>
      <c r="BB1" s="436"/>
      <c r="BC1" s="436"/>
      <c r="BD1" s="436"/>
      <c r="BE1" s="436"/>
      <c r="BF1" s="436"/>
      <c r="BG1" s="436"/>
      <c r="BH1" s="436"/>
      <c r="BI1" s="436"/>
      <c r="BJ1" s="436"/>
      <c r="BK1" s="436"/>
      <c r="BL1" s="436"/>
      <c r="BM1" s="436"/>
      <c r="BN1" s="436"/>
      <c r="BO1" s="436"/>
      <c r="BP1" s="436"/>
      <c r="BQ1" s="436"/>
      <c r="BR1" s="436"/>
      <c r="BS1" s="436"/>
      <c r="BT1" s="436"/>
      <c r="BU1" s="436"/>
      <c r="BV1" s="436"/>
      <c r="BW1" s="436"/>
      <c r="BX1" s="436"/>
      <c r="BY1" s="436"/>
      <c r="BZ1" s="436"/>
      <c r="CA1" s="436"/>
      <c r="CB1" s="436"/>
      <c r="CC1" s="436"/>
      <c r="CD1" s="436"/>
      <c r="CE1" s="436"/>
      <c r="CF1" s="436"/>
      <c r="CG1" s="436"/>
      <c r="CH1" s="436"/>
      <c r="CI1" s="436"/>
      <c r="CJ1" s="436"/>
      <c r="CK1" s="437"/>
    </row>
    <row r="2" spans="1:112" ht="12.75" customHeight="1">
      <c r="A2" s="438"/>
      <c r="B2" s="439"/>
      <c r="C2" s="439"/>
      <c r="D2" s="439"/>
      <c r="E2" s="439"/>
      <c r="F2" s="439"/>
      <c r="G2" s="439"/>
      <c r="H2" s="439"/>
      <c r="I2" s="439"/>
      <c r="J2" s="439"/>
      <c r="K2" s="439"/>
      <c r="L2" s="439"/>
      <c r="M2" s="439"/>
      <c r="N2" s="439"/>
      <c r="O2" s="439"/>
      <c r="P2" s="439"/>
      <c r="Q2" s="439"/>
      <c r="R2" s="439"/>
      <c r="S2" s="439"/>
      <c r="T2" s="439"/>
      <c r="U2" s="439"/>
      <c r="V2" s="439"/>
      <c r="W2" s="439"/>
      <c r="X2" s="439"/>
      <c r="Y2" s="439"/>
      <c r="Z2" s="439"/>
      <c r="AA2" s="439"/>
      <c r="AB2" s="439"/>
      <c r="AC2" s="439"/>
      <c r="AD2" s="439"/>
      <c r="AE2" s="439"/>
      <c r="AF2" s="439"/>
      <c r="AG2" s="439"/>
      <c r="AH2" s="439"/>
      <c r="AI2" s="439"/>
      <c r="AJ2" s="439"/>
      <c r="AK2" s="439"/>
      <c r="AL2" s="439"/>
      <c r="AM2" s="439"/>
      <c r="AN2" s="439"/>
      <c r="AO2" s="439"/>
      <c r="AP2" s="439"/>
      <c r="AQ2" s="439"/>
      <c r="AR2" s="439"/>
      <c r="AS2" s="439"/>
      <c r="AT2" s="439"/>
      <c r="AU2" s="439"/>
      <c r="AV2" s="439"/>
      <c r="AW2" s="439"/>
      <c r="AX2" s="439"/>
      <c r="AY2" s="439"/>
      <c r="AZ2" s="439"/>
      <c r="BA2" s="439"/>
      <c r="BB2" s="439"/>
      <c r="BC2" s="439"/>
      <c r="BD2" s="439"/>
      <c r="BE2" s="439"/>
      <c r="BF2" s="439"/>
      <c r="BG2" s="439"/>
      <c r="BH2" s="439"/>
      <c r="BI2" s="439"/>
      <c r="BJ2" s="439"/>
      <c r="BK2" s="439"/>
      <c r="BL2" s="439"/>
      <c r="BM2" s="439"/>
      <c r="BN2" s="439"/>
      <c r="BO2" s="439"/>
      <c r="BP2" s="439"/>
      <c r="BQ2" s="439"/>
      <c r="BR2" s="439"/>
      <c r="BS2" s="439"/>
      <c r="BT2" s="439"/>
      <c r="BU2" s="439"/>
      <c r="BV2" s="439"/>
      <c r="BW2" s="439"/>
      <c r="BX2" s="439"/>
      <c r="BY2" s="439"/>
      <c r="BZ2" s="439"/>
      <c r="CA2" s="439"/>
      <c r="CB2" s="439"/>
      <c r="CC2" s="439"/>
      <c r="CD2" s="439"/>
      <c r="CE2" s="439"/>
      <c r="CF2" s="439"/>
      <c r="CG2" s="439"/>
      <c r="CH2" s="439"/>
      <c r="CI2" s="439"/>
      <c r="CJ2" s="439"/>
      <c r="CK2" s="440"/>
      <c r="CW2" s="76"/>
      <c r="CX2" s="76"/>
      <c r="CY2" s="76"/>
    </row>
    <row r="3" spans="1:112" s="74" customFormat="1" ht="12.75" customHeight="1">
      <c r="A3" s="441" t="s">
        <v>90</v>
      </c>
      <c r="B3" s="442"/>
      <c r="C3" s="331" t="s">
        <v>91</v>
      </c>
      <c r="D3" s="334"/>
      <c r="E3" s="334"/>
      <c r="F3" s="334"/>
      <c r="G3" s="334"/>
      <c r="H3" s="442"/>
      <c r="I3" s="331" t="s">
        <v>92</v>
      </c>
      <c r="J3" s="334"/>
      <c r="K3" s="334"/>
      <c r="L3" s="442"/>
      <c r="M3" s="334" t="s">
        <v>93</v>
      </c>
      <c r="N3" s="334"/>
      <c r="O3" s="334"/>
      <c r="P3" s="442"/>
      <c r="Q3" s="331" t="s">
        <v>94</v>
      </c>
      <c r="R3" s="334"/>
      <c r="S3" s="334"/>
      <c r="T3" s="442"/>
      <c r="U3" s="331" t="s">
        <v>95</v>
      </c>
      <c r="V3" s="334"/>
      <c r="W3" s="442"/>
      <c r="X3" s="331" t="s">
        <v>96</v>
      </c>
      <c r="Y3" s="334"/>
      <c r="Z3" s="442"/>
      <c r="AA3" s="347" t="s">
        <v>97</v>
      </c>
      <c r="AB3" s="348"/>
      <c r="AC3" s="348"/>
      <c r="AD3" s="348"/>
      <c r="AE3" s="348"/>
      <c r="AF3" s="348"/>
      <c r="AG3" s="348"/>
      <c r="AH3" s="348"/>
      <c r="AI3" s="348"/>
      <c r="AJ3" s="348"/>
      <c r="AK3" s="348"/>
      <c r="AL3" s="348"/>
      <c r="AM3" s="348"/>
      <c r="AN3" s="348"/>
      <c r="AO3" s="348"/>
      <c r="AP3" s="348"/>
      <c r="AQ3" s="348"/>
      <c r="AR3" s="348"/>
      <c r="AS3" s="348"/>
      <c r="AT3" s="348"/>
      <c r="AU3" s="348"/>
      <c r="AV3" s="447"/>
      <c r="AW3" s="331" t="s">
        <v>98</v>
      </c>
      <c r="AX3" s="348"/>
      <c r="AY3" s="447"/>
      <c r="AZ3" s="331" t="s">
        <v>206</v>
      </c>
      <c r="BA3" s="334"/>
      <c r="BB3" s="334"/>
      <c r="BC3" s="334"/>
      <c r="BD3" s="334"/>
      <c r="BE3" s="334"/>
      <c r="BF3" s="464" t="s">
        <v>99</v>
      </c>
      <c r="BG3" s="334"/>
      <c r="BH3" s="334"/>
      <c r="BI3" s="334"/>
      <c r="BJ3" s="334"/>
      <c r="BK3" s="334"/>
      <c r="BL3" s="336" t="s">
        <v>100</v>
      </c>
      <c r="BM3" s="342"/>
      <c r="BN3" s="342"/>
      <c r="BO3" s="454"/>
      <c r="BP3" s="467" t="s">
        <v>101</v>
      </c>
      <c r="BQ3" s="467"/>
      <c r="BR3" s="467"/>
      <c r="BS3" s="468"/>
      <c r="BT3" s="336" t="s">
        <v>102</v>
      </c>
      <c r="BU3" s="342"/>
      <c r="BV3" s="342"/>
      <c r="BW3" s="342"/>
      <c r="BX3" s="336" t="s">
        <v>103</v>
      </c>
      <c r="BY3" s="342"/>
      <c r="BZ3" s="454"/>
      <c r="CA3" s="331" t="s">
        <v>104</v>
      </c>
      <c r="CB3" s="334"/>
      <c r="CC3" s="334"/>
      <c r="CD3" s="334"/>
      <c r="CE3" s="334"/>
      <c r="CF3" s="334"/>
      <c r="CG3" s="334"/>
      <c r="CH3" s="334"/>
      <c r="CI3" s="334"/>
      <c r="CJ3" s="334"/>
      <c r="CK3" s="431"/>
      <c r="CL3" s="86"/>
      <c r="CM3" s="86"/>
      <c r="CN3" s="86"/>
      <c r="CO3" s="86"/>
      <c r="CP3" s="86"/>
      <c r="CQ3" s="86"/>
      <c r="CR3" s="86"/>
      <c r="CS3" s="86"/>
      <c r="CT3" s="86"/>
      <c r="CU3" s="86"/>
      <c r="CV3" s="86"/>
      <c r="CW3" s="78"/>
      <c r="CX3" s="78"/>
      <c r="CY3" s="78"/>
      <c r="CZ3" s="107"/>
      <c r="DA3" s="107"/>
      <c r="DB3" s="108"/>
    </row>
    <row r="4" spans="1:112" s="75" customFormat="1" ht="12.75" customHeight="1">
      <c r="A4" s="443"/>
      <c r="B4" s="444"/>
      <c r="C4" s="332"/>
      <c r="D4" s="432"/>
      <c r="E4" s="432"/>
      <c r="F4" s="432"/>
      <c r="G4" s="432"/>
      <c r="H4" s="444"/>
      <c r="I4" s="332"/>
      <c r="J4" s="432"/>
      <c r="K4" s="432"/>
      <c r="L4" s="444"/>
      <c r="M4" s="432"/>
      <c r="N4" s="432"/>
      <c r="O4" s="432"/>
      <c r="P4" s="444"/>
      <c r="Q4" s="332"/>
      <c r="R4" s="432"/>
      <c r="S4" s="432"/>
      <c r="T4" s="444"/>
      <c r="U4" s="332"/>
      <c r="V4" s="432"/>
      <c r="W4" s="444"/>
      <c r="X4" s="332"/>
      <c r="Y4" s="432"/>
      <c r="Z4" s="444"/>
      <c r="AA4" s="349"/>
      <c r="AB4" s="350"/>
      <c r="AC4" s="350"/>
      <c r="AD4" s="350"/>
      <c r="AE4" s="350"/>
      <c r="AF4" s="350"/>
      <c r="AG4" s="350"/>
      <c r="AH4" s="350"/>
      <c r="AI4" s="350"/>
      <c r="AJ4" s="350"/>
      <c r="AK4" s="350"/>
      <c r="AL4" s="448"/>
      <c r="AM4" s="448"/>
      <c r="AN4" s="448"/>
      <c r="AO4" s="448"/>
      <c r="AP4" s="448"/>
      <c r="AQ4" s="448"/>
      <c r="AR4" s="448"/>
      <c r="AS4" s="448"/>
      <c r="AT4" s="448"/>
      <c r="AU4" s="448"/>
      <c r="AV4" s="449"/>
      <c r="AW4" s="462"/>
      <c r="AX4" s="448"/>
      <c r="AY4" s="449"/>
      <c r="AZ4" s="333"/>
      <c r="BA4" s="335"/>
      <c r="BB4" s="335"/>
      <c r="BC4" s="335"/>
      <c r="BD4" s="335"/>
      <c r="BE4" s="335"/>
      <c r="BF4" s="465"/>
      <c r="BG4" s="466"/>
      <c r="BH4" s="466"/>
      <c r="BI4" s="466"/>
      <c r="BJ4" s="466"/>
      <c r="BK4" s="466"/>
      <c r="BL4" s="337"/>
      <c r="BM4" s="455"/>
      <c r="BN4" s="455"/>
      <c r="BO4" s="456"/>
      <c r="BP4" s="469"/>
      <c r="BQ4" s="469"/>
      <c r="BR4" s="469"/>
      <c r="BS4" s="470"/>
      <c r="BT4" s="338"/>
      <c r="BU4" s="343"/>
      <c r="BV4" s="455"/>
      <c r="BW4" s="455"/>
      <c r="BX4" s="337"/>
      <c r="BY4" s="455"/>
      <c r="BZ4" s="456"/>
      <c r="CA4" s="332"/>
      <c r="CB4" s="432"/>
      <c r="CC4" s="432"/>
      <c r="CD4" s="432"/>
      <c r="CE4" s="432"/>
      <c r="CF4" s="432"/>
      <c r="CG4" s="432"/>
      <c r="CH4" s="432"/>
      <c r="CI4" s="432"/>
      <c r="CJ4" s="432"/>
      <c r="CK4" s="433"/>
      <c r="CL4" s="87"/>
      <c r="CM4" s="87"/>
      <c r="CN4" s="87"/>
      <c r="CO4" s="87"/>
      <c r="CP4" s="87"/>
      <c r="CQ4" s="87"/>
      <c r="CR4" s="87"/>
      <c r="CS4" s="87"/>
      <c r="CT4" s="87"/>
      <c r="CU4" s="87"/>
      <c r="CV4" s="87"/>
      <c r="CW4" s="77"/>
      <c r="CX4" s="77"/>
      <c r="CY4" s="77"/>
      <c r="CZ4" s="109"/>
      <c r="DA4" s="109"/>
      <c r="DB4" s="110"/>
    </row>
    <row r="5" spans="1:112" s="75" customFormat="1" ht="12.75" customHeight="1">
      <c r="A5" s="445"/>
      <c r="B5" s="446"/>
      <c r="C5" s="333"/>
      <c r="D5" s="335"/>
      <c r="E5" s="335"/>
      <c r="F5" s="335"/>
      <c r="G5" s="335"/>
      <c r="H5" s="446"/>
      <c r="I5" s="333"/>
      <c r="J5" s="335"/>
      <c r="K5" s="335"/>
      <c r="L5" s="446"/>
      <c r="M5" s="335"/>
      <c r="N5" s="335"/>
      <c r="O5" s="335"/>
      <c r="P5" s="446"/>
      <c r="Q5" s="333"/>
      <c r="R5" s="335"/>
      <c r="S5" s="335"/>
      <c r="T5" s="446"/>
      <c r="U5" s="333"/>
      <c r="V5" s="335"/>
      <c r="W5" s="446"/>
      <c r="X5" s="333"/>
      <c r="Y5" s="335"/>
      <c r="Z5" s="446"/>
      <c r="AA5" s="458" t="s">
        <v>107</v>
      </c>
      <c r="AB5" s="459"/>
      <c r="AC5" s="459"/>
      <c r="AD5" s="459"/>
      <c r="AE5" s="459"/>
      <c r="AF5" s="459"/>
      <c r="AG5" s="459"/>
      <c r="AH5" s="459"/>
      <c r="AI5" s="459"/>
      <c r="AJ5" s="459"/>
      <c r="AK5" s="459"/>
      <c r="AL5" s="458" t="s">
        <v>108</v>
      </c>
      <c r="AM5" s="459"/>
      <c r="AN5" s="459"/>
      <c r="AO5" s="459"/>
      <c r="AP5" s="459"/>
      <c r="AQ5" s="459"/>
      <c r="AR5" s="459"/>
      <c r="AS5" s="459"/>
      <c r="AT5" s="459"/>
      <c r="AU5" s="459"/>
      <c r="AV5" s="460"/>
      <c r="AW5" s="350"/>
      <c r="AX5" s="350"/>
      <c r="AY5" s="463"/>
      <c r="AZ5" s="458" t="s">
        <v>109</v>
      </c>
      <c r="BA5" s="460"/>
      <c r="BB5" s="458" t="s">
        <v>110</v>
      </c>
      <c r="BC5" s="460"/>
      <c r="BD5" s="458" t="s">
        <v>111</v>
      </c>
      <c r="BE5" s="460"/>
      <c r="BF5" s="352" t="s">
        <v>109</v>
      </c>
      <c r="BG5" s="461"/>
      <c r="BH5" s="352" t="s">
        <v>110</v>
      </c>
      <c r="BI5" s="461"/>
      <c r="BJ5" s="352" t="s">
        <v>111</v>
      </c>
      <c r="BK5" s="473"/>
      <c r="BL5" s="338"/>
      <c r="BM5" s="343"/>
      <c r="BN5" s="343"/>
      <c r="BO5" s="457"/>
      <c r="BP5" s="471"/>
      <c r="BQ5" s="471"/>
      <c r="BR5" s="471"/>
      <c r="BS5" s="472"/>
      <c r="BT5" s="474" t="s">
        <v>112</v>
      </c>
      <c r="BU5" s="475"/>
      <c r="BV5" s="476" t="s">
        <v>113</v>
      </c>
      <c r="BW5" s="477"/>
      <c r="BX5" s="343"/>
      <c r="BY5" s="343"/>
      <c r="BZ5" s="457"/>
      <c r="CA5" s="333"/>
      <c r="CB5" s="335"/>
      <c r="CC5" s="335"/>
      <c r="CD5" s="335"/>
      <c r="CE5" s="335"/>
      <c r="CF5" s="335"/>
      <c r="CG5" s="335"/>
      <c r="CH5" s="335"/>
      <c r="CI5" s="335"/>
      <c r="CJ5" s="335"/>
      <c r="CK5" s="434"/>
      <c r="CL5" s="87"/>
      <c r="CM5" s="87"/>
      <c r="CN5" s="87"/>
      <c r="CO5" s="87"/>
      <c r="CP5" s="87"/>
      <c r="CQ5" s="87"/>
      <c r="CR5" s="87"/>
      <c r="CS5" s="87"/>
      <c r="CT5" s="87"/>
      <c r="CU5" s="87"/>
      <c r="CV5" s="87"/>
      <c r="CW5" s="77"/>
      <c r="CX5" s="77"/>
      <c r="CY5" s="77"/>
      <c r="CZ5" s="109"/>
      <c r="DA5" s="109"/>
      <c r="DB5" s="110"/>
    </row>
    <row r="6" spans="1:112" s="87" customFormat="1" ht="38.4" customHeight="1">
      <c r="A6" s="398">
        <v>1</v>
      </c>
      <c r="B6" s="399"/>
      <c r="C6" s="399" t="s">
        <v>245</v>
      </c>
      <c r="D6" s="399"/>
      <c r="E6" s="399"/>
      <c r="F6" s="399"/>
      <c r="G6" s="399"/>
      <c r="H6" s="399"/>
      <c r="I6" s="419" t="s">
        <v>259</v>
      </c>
      <c r="J6" s="419"/>
      <c r="K6" s="419"/>
      <c r="L6" s="419"/>
      <c r="M6" s="419" t="s">
        <v>256</v>
      </c>
      <c r="N6" s="419"/>
      <c r="O6" s="419"/>
      <c r="P6" s="419"/>
      <c r="Q6" s="450" t="s">
        <v>247</v>
      </c>
      <c r="R6" s="450"/>
      <c r="S6" s="450"/>
      <c r="T6" s="450"/>
      <c r="U6" s="451" t="s">
        <v>263</v>
      </c>
      <c r="V6" s="452"/>
      <c r="W6" s="453"/>
      <c r="X6" s="404" t="s">
        <v>71</v>
      </c>
      <c r="Y6" s="404"/>
      <c r="Z6" s="404"/>
      <c r="AA6" s="478" t="s">
        <v>249</v>
      </c>
      <c r="AB6" s="478"/>
      <c r="AC6" s="478"/>
      <c r="AD6" s="478"/>
      <c r="AE6" s="478"/>
      <c r="AF6" s="478"/>
      <c r="AG6" s="478"/>
      <c r="AH6" s="478"/>
      <c r="AI6" s="478"/>
      <c r="AJ6" s="478"/>
      <c r="AK6" s="478"/>
      <c r="AL6" s="479" t="s">
        <v>258</v>
      </c>
      <c r="AM6" s="478"/>
      <c r="AN6" s="478"/>
      <c r="AO6" s="478"/>
      <c r="AP6" s="478"/>
      <c r="AQ6" s="478"/>
      <c r="AR6" s="478"/>
      <c r="AS6" s="478"/>
      <c r="AT6" s="478"/>
      <c r="AU6" s="478"/>
      <c r="AV6" s="478"/>
      <c r="AW6" s="480"/>
      <c r="AX6" s="480"/>
      <c r="AY6" s="480"/>
      <c r="AZ6" s="399"/>
      <c r="BA6" s="399"/>
      <c r="BB6" s="399"/>
      <c r="BC6" s="399"/>
      <c r="BD6" s="399"/>
      <c r="BE6" s="399"/>
      <c r="BF6" s="399">
        <v>120</v>
      </c>
      <c r="BG6" s="399"/>
      <c r="BH6" s="399">
        <v>125</v>
      </c>
      <c r="BI6" s="399"/>
      <c r="BJ6" s="399">
        <v>130</v>
      </c>
      <c r="BK6" s="399"/>
      <c r="BL6" s="399" t="s">
        <v>253</v>
      </c>
      <c r="BM6" s="399"/>
      <c r="BN6" s="399"/>
      <c r="BO6" s="399"/>
      <c r="BP6" s="399" t="s">
        <v>254</v>
      </c>
      <c r="BQ6" s="399"/>
      <c r="BR6" s="399"/>
      <c r="BS6" s="399"/>
      <c r="BT6" s="419" t="s">
        <v>257</v>
      </c>
      <c r="BU6" s="419"/>
      <c r="BV6" s="419" t="s">
        <v>257</v>
      </c>
      <c r="BW6" s="419"/>
      <c r="BX6" s="417" t="s">
        <v>33</v>
      </c>
      <c r="BY6" s="399"/>
      <c r="BZ6" s="399"/>
      <c r="CA6" s="524" t="s">
        <v>269</v>
      </c>
      <c r="CB6" s="525"/>
      <c r="CC6" s="525"/>
      <c r="CD6" s="525"/>
      <c r="CE6" s="525"/>
      <c r="CF6" s="525"/>
      <c r="CG6" s="525"/>
      <c r="CH6" s="525"/>
      <c r="CI6" s="525"/>
      <c r="CJ6" s="525"/>
      <c r="CK6" s="526"/>
      <c r="CR6" s="518"/>
      <c r="CS6" s="519"/>
      <c r="CT6" s="519"/>
      <c r="CU6" s="519"/>
      <c r="CV6" s="519"/>
      <c r="CW6" s="519"/>
      <c r="CX6" s="519"/>
      <c r="CY6" s="520"/>
      <c r="CZ6" s="109"/>
      <c r="DA6" s="109"/>
      <c r="DB6" s="109"/>
    </row>
    <row r="7" spans="1:112" s="87" customFormat="1" ht="25.65" customHeight="1">
      <c r="A7" s="398">
        <v>2</v>
      </c>
      <c r="B7" s="399"/>
      <c r="C7" s="399" t="s">
        <v>245</v>
      </c>
      <c r="D7" s="399"/>
      <c r="E7" s="399"/>
      <c r="F7" s="399"/>
      <c r="G7" s="399"/>
      <c r="H7" s="399"/>
      <c r="I7" s="419" t="s">
        <v>259</v>
      </c>
      <c r="J7" s="419"/>
      <c r="K7" s="419"/>
      <c r="L7" s="419"/>
      <c r="M7" s="415" t="s">
        <v>255</v>
      </c>
      <c r="N7" s="415"/>
      <c r="O7" s="415"/>
      <c r="P7" s="415"/>
      <c r="Q7" s="450" t="s">
        <v>247</v>
      </c>
      <c r="R7" s="450"/>
      <c r="S7" s="450"/>
      <c r="T7" s="450"/>
      <c r="U7" s="451" t="s">
        <v>263</v>
      </c>
      <c r="V7" s="452"/>
      <c r="W7" s="453"/>
      <c r="X7" s="404" t="s">
        <v>71</v>
      </c>
      <c r="Y7" s="404"/>
      <c r="Z7" s="404"/>
      <c r="AA7" s="478" t="s">
        <v>260</v>
      </c>
      <c r="AB7" s="478"/>
      <c r="AC7" s="478"/>
      <c r="AD7" s="478"/>
      <c r="AE7" s="478"/>
      <c r="AF7" s="478"/>
      <c r="AG7" s="478"/>
      <c r="AH7" s="478"/>
      <c r="AI7" s="478"/>
      <c r="AJ7" s="478"/>
      <c r="AK7" s="478"/>
      <c r="AL7" s="478" t="s">
        <v>261</v>
      </c>
      <c r="AM7" s="478"/>
      <c r="AN7" s="478"/>
      <c r="AO7" s="478"/>
      <c r="AP7" s="478"/>
      <c r="AQ7" s="478"/>
      <c r="AR7" s="478"/>
      <c r="AS7" s="478"/>
      <c r="AT7" s="478"/>
      <c r="AU7" s="478"/>
      <c r="AV7" s="478"/>
      <c r="AW7" s="418"/>
      <c r="AX7" s="418"/>
      <c r="AY7" s="418"/>
      <c r="AZ7" s="404"/>
      <c r="BA7" s="404"/>
      <c r="BB7" s="404"/>
      <c r="BC7" s="404"/>
      <c r="BD7" s="404"/>
      <c r="BE7" s="404"/>
      <c r="BF7" s="404">
        <v>120</v>
      </c>
      <c r="BG7" s="404"/>
      <c r="BH7" s="399">
        <v>125</v>
      </c>
      <c r="BI7" s="399"/>
      <c r="BJ7" s="399">
        <v>130</v>
      </c>
      <c r="BK7" s="399"/>
      <c r="BL7" s="399" t="s">
        <v>253</v>
      </c>
      <c r="BM7" s="399"/>
      <c r="BN7" s="399"/>
      <c r="BO7" s="399"/>
      <c r="BP7" s="399" t="s">
        <v>254</v>
      </c>
      <c r="BQ7" s="399"/>
      <c r="BR7" s="399"/>
      <c r="BS7" s="399"/>
      <c r="BT7" s="402" t="s">
        <v>155</v>
      </c>
      <c r="BU7" s="402"/>
      <c r="BV7" s="403" t="s">
        <v>155</v>
      </c>
      <c r="BW7" s="403"/>
      <c r="BX7" s="417" t="s">
        <v>33</v>
      </c>
      <c r="BY7" s="399"/>
      <c r="BZ7" s="399"/>
      <c r="CA7" s="524" t="s">
        <v>262</v>
      </c>
      <c r="CB7" s="525"/>
      <c r="CC7" s="525"/>
      <c r="CD7" s="525"/>
      <c r="CE7" s="525"/>
      <c r="CF7" s="525"/>
      <c r="CG7" s="525"/>
      <c r="CH7" s="525"/>
      <c r="CI7" s="525"/>
      <c r="CJ7" s="525"/>
      <c r="CK7" s="526"/>
      <c r="CR7" s="521"/>
      <c r="CS7" s="522"/>
      <c r="CT7" s="522"/>
      <c r="CU7" s="522"/>
      <c r="CV7" s="522"/>
      <c r="CW7" s="522"/>
      <c r="CX7" s="522"/>
      <c r="CY7" s="523"/>
      <c r="DC7"/>
      <c r="DD7"/>
      <c r="DE7"/>
      <c r="DF7"/>
      <c r="DG7"/>
      <c r="DH7"/>
    </row>
    <row r="8" spans="1:112" s="87" customFormat="1" ht="25.65" customHeight="1">
      <c r="A8" s="398"/>
      <c r="B8" s="399"/>
      <c r="C8" s="399" t="s">
        <v>245</v>
      </c>
      <c r="D8" s="399"/>
      <c r="E8" s="399"/>
      <c r="F8" s="399"/>
      <c r="G8" s="399"/>
      <c r="H8" s="399"/>
      <c r="I8" s="419" t="s">
        <v>259</v>
      </c>
      <c r="J8" s="419"/>
      <c r="K8" s="419"/>
      <c r="L8" s="419"/>
      <c r="M8" s="415" t="s">
        <v>246</v>
      </c>
      <c r="N8" s="415"/>
      <c r="O8" s="415"/>
      <c r="P8" s="415"/>
      <c r="Q8" s="450" t="s">
        <v>247</v>
      </c>
      <c r="R8" s="450"/>
      <c r="S8" s="450"/>
      <c r="T8" s="450"/>
      <c r="U8" s="451" t="s">
        <v>263</v>
      </c>
      <c r="V8" s="452"/>
      <c r="W8" s="453"/>
      <c r="X8" s="404" t="s">
        <v>71</v>
      </c>
      <c r="Y8" s="404"/>
      <c r="Z8" s="404"/>
      <c r="AA8" s="478" t="s">
        <v>260</v>
      </c>
      <c r="AB8" s="478"/>
      <c r="AC8" s="478"/>
      <c r="AD8" s="478"/>
      <c r="AE8" s="478"/>
      <c r="AF8" s="478"/>
      <c r="AG8" s="478"/>
      <c r="AH8" s="478"/>
      <c r="AI8" s="478"/>
      <c r="AJ8" s="478"/>
      <c r="AK8" s="478"/>
      <c r="AL8" s="478" t="s">
        <v>248</v>
      </c>
      <c r="AM8" s="478"/>
      <c r="AN8" s="478"/>
      <c r="AO8" s="478"/>
      <c r="AP8" s="478"/>
      <c r="AQ8" s="478"/>
      <c r="AR8" s="478"/>
      <c r="AS8" s="478"/>
      <c r="AT8" s="478"/>
      <c r="AU8" s="478"/>
      <c r="AV8" s="478"/>
      <c r="AW8" s="418"/>
      <c r="AX8" s="418"/>
      <c r="AY8" s="418"/>
      <c r="AZ8" s="404"/>
      <c r="BA8" s="404"/>
      <c r="BB8" s="404"/>
      <c r="BC8" s="404"/>
      <c r="BD8" s="404"/>
      <c r="BE8" s="404"/>
      <c r="BF8" s="404">
        <v>120</v>
      </c>
      <c r="BG8" s="404"/>
      <c r="BH8" s="399">
        <v>125</v>
      </c>
      <c r="BI8" s="399"/>
      <c r="BJ8" s="399">
        <v>130</v>
      </c>
      <c r="BK8" s="399"/>
      <c r="BL8" s="399" t="s">
        <v>253</v>
      </c>
      <c r="BM8" s="399"/>
      <c r="BN8" s="399"/>
      <c r="BO8" s="399"/>
      <c r="BP8" s="399" t="s">
        <v>254</v>
      </c>
      <c r="BQ8" s="399"/>
      <c r="BR8" s="399"/>
      <c r="BS8" s="399"/>
      <c r="BT8" s="402" t="s">
        <v>155</v>
      </c>
      <c r="BU8" s="402"/>
      <c r="BV8" s="403" t="s">
        <v>155</v>
      </c>
      <c r="BW8" s="403"/>
      <c r="BX8" s="417" t="s">
        <v>33</v>
      </c>
      <c r="BY8" s="399"/>
      <c r="BZ8" s="399"/>
      <c r="CA8" s="524" t="s">
        <v>262</v>
      </c>
      <c r="CB8" s="525"/>
      <c r="CC8" s="525"/>
      <c r="CD8" s="525"/>
      <c r="CE8" s="525"/>
      <c r="CF8" s="525"/>
      <c r="CG8" s="525"/>
      <c r="CH8" s="525"/>
      <c r="CI8" s="525"/>
      <c r="CJ8" s="525"/>
      <c r="CK8" s="526"/>
      <c r="CR8" s="521"/>
      <c r="CS8" s="522"/>
      <c r="CT8" s="522"/>
      <c r="CU8" s="522"/>
      <c r="CV8" s="522"/>
      <c r="CW8" s="522"/>
      <c r="CX8" s="522"/>
      <c r="CY8" s="523"/>
      <c r="DC8"/>
      <c r="DD8"/>
      <c r="DE8"/>
      <c r="DF8"/>
      <c r="DG8"/>
      <c r="DH8"/>
    </row>
    <row r="9" spans="1:112" s="87" customFormat="1" ht="25.65" customHeight="1">
      <c r="A9" s="398">
        <v>4</v>
      </c>
      <c r="B9" s="399"/>
      <c r="C9" s="404" t="s">
        <v>250</v>
      </c>
      <c r="D9" s="404"/>
      <c r="E9" s="404"/>
      <c r="F9" s="404"/>
      <c r="G9" s="404"/>
      <c r="H9" s="404"/>
      <c r="I9" s="415" t="s">
        <v>251</v>
      </c>
      <c r="J9" s="415"/>
      <c r="K9" s="415"/>
      <c r="L9" s="415"/>
      <c r="M9" s="423" t="s">
        <v>264</v>
      </c>
      <c r="N9" s="424"/>
      <c r="O9" s="424"/>
      <c r="P9" s="425"/>
      <c r="Q9" s="415" t="s">
        <v>140</v>
      </c>
      <c r="R9" s="415"/>
      <c r="S9" s="415"/>
      <c r="T9" s="415"/>
      <c r="U9" s="415" t="s">
        <v>252</v>
      </c>
      <c r="V9" s="415"/>
      <c r="W9" s="415"/>
      <c r="X9" s="404" t="s">
        <v>71</v>
      </c>
      <c r="Y9" s="404"/>
      <c r="Z9" s="404"/>
      <c r="AA9" s="478" t="s">
        <v>248</v>
      </c>
      <c r="AB9" s="478"/>
      <c r="AC9" s="478"/>
      <c r="AD9" s="478"/>
      <c r="AE9" s="478"/>
      <c r="AF9" s="478"/>
      <c r="AG9" s="478"/>
      <c r="AH9" s="478"/>
      <c r="AI9" s="478"/>
      <c r="AJ9" s="478"/>
      <c r="AK9" s="478"/>
      <c r="AL9" s="416" t="s">
        <v>265</v>
      </c>
      <c r="AM9" s="416"/>
      <c r="AN9" s="416"/>
      <c r="AO9" s="416"/>
      <c r="AP9" s="416"/>
      <c r="AQ9" s="416"/>
      <c r="AR9" s="416"/>
      <c r="AS9" s="416"/>
      <c r="AT9" s="416"/>
      <c r="AU9" s="416"/>
      <c r="AV9" s="416"/>
      <c r="AW9" s="418"/>
      <c r="AX9" s="418"/>
      <c r="AY9" s="418"/>
      <c r="AZ9" s="404"/>
      <c r="BA9" s="404"/>
      <c r="BB9" s="404"/>
      <c r="BC9" s="404"/>
      <c r="BD9" s="404"/>
      <c r="BE9" s="404"/>
      <c r="BF9" s="404">
        <v>120</v>
      </c>
      <c r="BG9" s="404"/>
      <c r="BH9" s="399">
        <v>125</v>
      </c>
      <c r="BI9" s="399"/>
      <c r="BJ9" s="399">
        <v>130</v>
      </c>
      <c r="BK9" s="399"/>
      <c r="BL9" s="399" t="s">
        <v>253</v>
      </c>
      <c r="BM9" s="399"/>
      <c r="BN9" s="399"/>
      <c r="BO9" s="399"/>
      <c r="BP9" s="399" t="s">
        <v>254</v>
      </c>
      <c r="BQ9" s="399"/>
      <c r="BR9" s="399"/>
      <c r="BS9" s="399"/>
      <c r="BT9" s="419" t="s">
        <v>257</v>
      </c>
      <c r="BU9" s="419"/>
      <c r="BV9" s="419" t="s">
        <v>257</v>
      </c>
      <c r="BW9" s="419"/>
      <c r="BX9" s="417" t="s">
        <v>33</v>
      </c>
      <c r="BY9" s="399"/>
      <c r="BZ9" s="399"/>
      <c r="CA9" s="524" t="s">
        <v>270</v>
      </c>
      <c r="CB9" s="525"/>
      <c r="CC9" s="525"/>
      <c r="CD9" s="525"/>
      <c r="CE9" s="525"/>
      <c r="CF9" s="525"/>
      <c r="CG9" s="525"/>
      <c r="CH9" s="525"/>
      <c r="CI9" s="525"/>
      <c r="CJ9" s="525"/>
      <c r="CK9" s="526"/>
      <c r="CR9" s="518"/>
      <c r="CS9" s="519"/>
      <c r="CT9" s="519"/>
      <c r="CU9" s="519"/>
      <c r="CV9" s="519"/>
      <c r="CW9" s="519"/>
      <c r="CX9" s="519"/>
      <c r="CY9" s="520"/>
    </row>
    <row r="10" spans="1:112" s="87" customFormat="1" ht="25.65" customHeight="1">
      <c r="A10" s="398">
        <v>7</v>
      </c>
      <c r="B10" s="399"/>
      <c r="C10" s="404" t="s">
        <v>266</v>
      </c>
      <c r="D10" s="404"/>
      <c r="E10" s="404"/>
      <c r="F10" s="404"/>
      <c r="G10" s="404"/>
      <c r="H10" s="404"/>
      <c r="I10" s="415" t="s">
        <v>251</v>
      </c>
      <c r="J10" s="415"/>
      <c r="K10" s="415"/>
      <c r="L10" s="415"/>
      <c r="M10" s="423" t="s">
        <v>264</v>
      </c>
      <c r="N10" s="424"/>
      <c r="O10" s="424"/>
      <c r="P10" s="425"/>
      <c r="Q10" s="415" t="s">
        <v>136</v>
      </c>
      <c r="R10" s="415"/>
      <c r="S10" s="415"/>
      <c r="T10" s="415"/>
      <c r="U10" s="415" t="s">
        <v>252</v>
      </c>
      <c r="V10" s="415"/>
      <c r="W10" s="415"/>
      <c r="X10" s="404" t="s">
        <v>71</v>
      </c>
      <c r="Y10" s="404"/>
      <c r="Z10" s="404"/>
      <c r="AA10" s="416" t="s">
        <v>267</v>
      </c>
      <c r="AB10" s="416"/>
      <c r="AC10" s="416"/>
      <c r="AD10" s="416"/>
      <c r="AE10" s="416"/>
      <c r="AF10" s="416"/>
      <c r="AG10" s="416"/>
      <c r="AH10" s="416"/>
      <c r="AI10" s="416"/>
      <c r="AJ10" s="416"/>
      <c r="AK10" s="416"/>
      <c r="AL10" s="416" t="s">
        <v>268</v>
      </c>
      <c r="AM10" s="416"/>
      <c r="AN10" s="416"/>
      <c r="AO10" s="416"/>
      <c r="AP10" s="416"/>
      <c r="AQ10" s="416"/>
      <c r="AR10" s="416"/>
      <c r="AS10" s="416"/>
      <c r="AT10" s="416"/>
      <c r="AU10" s="416"/>
      <c r="AV10" s="416"/>
      <c r="AW10" s="418"/>
      <c r="AX10" s="418"/>
      <c r="AY10" s="418"/>
      <c r="AZ10" s="404"/>
      <c r="BA10" s="404"/>
      <c r="BB10" s="404"/>
      <c r="BC10" s="404"/>
      <c r="BD10" s="404"/>
      <c r="BE10" s="404"/>
      <c r="BF10" s="404">
        <v>120</v>
      </c>
      <c r="BG10" s="404"/>
      <c r="BH10" s="399">
        <v>125</v>
      </c>
      <c r="BI10" s="399"/>
      <c r="BJ10" s="399">
        <v>130</v>
      </c>
      <c r="BK10" s="399"/>
      <c r="BL10" s="399" t="s">
        <v>253</v>
      </c>
      <c r="BM10" s="399"/>
      <c r="BN10" s="399"/>
      <c r="BO10" s="399"/>
      <c r="BP10" s="399" t="s">
        <v>254</v>
      </c>
      <c r="BQ10" s="399"/>
      <c r="BR10" s="399"/>
      <c r="BS10" s="399"/>
      <c r="BT10" s="419" t="s">
        <v>257</v>
      </c>
      <c r="BU10" s="419"/>
      <c r="BV10" s="419" t="s">
        <v>257</v>
      </c>
      <c r="BW10" s="419"/>
      <c r="BX10" s="417" t="s">
        <v>33</v>
      </c>
      <c r="BY10" s="399"/>
      <c r="BZ10" s="399"/>
      <c r="CA10" s="524" t="s">
        <v>270</v>
      </c>
      <c r="CB10" s="525"/>
      <c r="CC10" s="525"/>
      <c r="CD10" s="525"/>
      <c r="CE10" s="525"/>
      <c r="CF10" s="525"/>
      <c r="CG10" s="525"/>
      <c r="CH10" s="525"/>
      <c r="CI10" s="525"/>
      <c r="CJ10" s="525"/>
      <c r="CK10" s="526"/>
      <c r="CR10" s="518"/>
      <c r="CS10" s="519"/>
      <c r="CT10" s="519"/>
      <c r="CU10" s="519"/>
      <c r="CV10" s="519"/>
      <c r="CW10" s="519"/>
      <c r="CX10" s="519"/>
      <c r="CY10" s="520"/>
    </row>
    <row r="11" spans="1:112" s="111" customFormat="1" ht="25.65" customHeight="1">
      <c r="A11" s="398">
        <v>8</v>
      </c>
      <c r="B11" s="399"/>
      <c r="C11" s="404" t="s">
        <v>266</v>
      </c>
      <c r="D11" s="404"/>
      <c r="E11" s="404"/>
      <c r="F11" s="404"/>
      <c r="G11" s="404"/>
      <c r="H11" s="404"/>
      <c r="I11" s="415" t="s">
        <v>251</v>
      </c>
      <c r="J11" s="415"/>
      <c r="K11" s="415"/>
      <c r="L11" s="415"/>
      <c r="M11" s="451" t="s">
        <v>271</v>
      </c>
      <c r="N11" s="452"/>
      <c r="O11" s="452"/>
      <c r="P11" s="453"/>
      <c r="Q11" s="451" t="s">
        <v>140</v>
      </c>
      <c r="R11" s="452"/>
      <c r="S11" s="452"/>
      <c r="T11" s="453"/>
      <c r="U11" s="415" t="s">
        <v>252</v>
      </c>
      <c r="V11" s="415"/>
      <c r="W11" s="415"/>
      <c r="X11" s="404" t="s">
        <v>71</v>
      </c>
      <c r="Y11" s="404"/>
      <c r="Z11" s="404"/>
      <c r="AA11" s="420" t="s">
        <v>273</v>
      </c>
      <c r="AB11" s="421"/>
      <c r="AC11" s="421"/>
      <c r="AD11" s="421"/>
      <c r="AE11" s="421"/>
      <c r="AF11" s="421"/>
      <c r="AG11" s="421"/>
      <c r="AH11" s="421"/>
      <c r="AI11" s="421"/>
      <c r="AJ11" s="421"/>
      <c r="AK11" s="422"/>
      <c r="AL11" s="416" t="s">
        <v>274</v>
      </c>
      <c r="AM11" s="416"/>
      <c r="AN11" s="416"/>
      <c r="AO11" s="416"/>
      <c r="AP11" s="416"/>
      <c r="AQ11" s="416"/>
      <c r="AR11" s="416"/>
      <c r="AS11" s="416"/>
      <c r="AT11" s="416"/>
      <c r="AU11" s="416"/>
      <c r="AV11" s="416"/>
      <c r="AW11" s="426"/>
      <c r="AX11" s="427"/>
      <c r="AY11" s="428"/>
      <c r="AZ11" s="429"/>
      <c r="BA11" s="430"/>
      <c r="BB11" s="429"/>
      <c r="BC11" s="430"/>
      <c r="BD11" s="429"/>
      <c r="BE11" s="430"/>
      <c r="BF11" s="404">
        <v>120</v>
      </c>
      <c r="BG11" s="404"/>
      <c r="BH11" s="399">
        <v>125</v>
      </c>
      <c r="BI11" s="399"/>
      <c r="BJ11" s="399">
        <v>130</v>
      </c>
      <c r="BK11" s="399"/>
      <c r="BL11" s="399" t="s">
        <v>253</v>
      </c>
      <c r="BM11" s="399"/>
      <c r="BN11" s="399"/>
      <c r="BO11" s="399"/>
      <c r="BP11" s="399" t="s">
        <v>254</v>
      </c>
      <c r="BQ11" s="399"/>
      <c r="BR11" s="399"/>
      <c r="BS11" s="399"/>
      <c r="BT11" s="419" t="s">
        <v>257</v>
      </c>
      <c r="BU11" s="419"/>
      <c r="BV11" s="419" t="s">
        <v>257</v>
      </c>
      <c r="BW11" s="419"/>
      <c r="BX11" s="417" t="s">
        <v>33</v>
      </c>
      <c r="BY11" s="399"/>
      <c r="BZ11" s="399"/>
      <c r="CA11" s="524" t="s">
        <v>289</v>
      </c>
      <c r="CB11" s="525"/>
      <c r="CC11" s="525"/>
      <c r="CD11" s="525"/>
      <c r="CE11" s="525"/>
      <c r="CF11" s="525"/>
      <c r="CG11" s="525"/>
      <c r="CH11" s="525"/>
      <c r="CI11" s="525"/>
      <c r="CJ11" s="525"/>
      <c r="CK11" s="526"/>
    </row>
    <row r="12" spans="1:112" s="87" customFormat="1" ht="25.65" customHeight="1">
      <c r="A12" s="398">
        <v>9</v>
      </c>
      <c r="B12" s="399"/>
      <c r="C12" s="404" t="s">
        <v>266</v>
      </c>
      <c r="D12" s="404"/>
      <c r="E12" s="404"/>
      <c r="F12" s="404"/>
      <c r="G12" s="404"/>
      <c r="H12" s="404"/>
      <c r="I12" s="415" t="s">
        <v>251</v>
      </c>
      <c r="J12" s="415"/>
      <c r="K12" s="415"/>
      <c r="L12" s="415"/>
      <c r="M12" s="451" t="s">
        <v>272</v>
      </c>
      <c r="N12" s="452"/>
      <c r="O12" s="452"/>
      <c r="P12" s="453"/>
      <c r="Q12" s="415" t="s">
        <v>140</v>
      </c>
      <c r="R12" s="415"/>
      <c r="S12" s="415"/>
      <c r="T12" s="415"/>
      <c r="U12" s="415" t="s">
        <v>252</v>
      </c>
      <c r="V12" s="415"/>
      <c r="W12" s="415"/>
      <c r="X12" s="404" t="s">
        <v>71</v>
      </c>
      <c r="Y12" s="404"/>
      <c r="Z12" s="404"/>
      <c r="AA12" s="416" t="s">
        <v>275</v>
      </c>
      <c r="AB12" s="416"/>
      <c r="AC12" s="416"/>
      <c r="AD12" s="416"/>
      <c r="AE12" s="416"/>
      <c r="AF12" s="416"/>
      <c r="AG12" s="416"/>
      <c r="AH12" s="416"/>
      <c r="AI12" s="416"/>
      <c r="AJ12" s="416"/>
      <c r="AK12" s="416"/>
      <c r="AL12" s="420" t="s">
        <v>273</v>
      </c>
      <c r="AM12" s="421"/>
      <c r="AN12" s="421"/>
      <c r="AO12" s="421"/>
      <c r="AP12" s="421"/>
      <c r="AQ12" s="421"/>
      <c r="AR12" s="421"/>
      <c r="AS12" s="421"/>
      <c r="AT12" s="421"/>
      <c r="AU12" s="421"/>
      <c r="AV12" s="422"/>
      <c r="AW12" s="418"/>
      <c r="AX12" s="418"/>
      <c r="AY12" s="418"/>
      <c r="AZ12" s="404"/>
      <c r="BA12" s="404"/>
      <c r="BB12" s="404"/>
      <c r="BC12" s="404"/>
      <c r="BD12" s="404"/>
      <c r="BE12" s="404"/>
      <c r="BF12" s="404">
        <v>120</v>
      </c>
      <c r="BG12" s="404"/>
      <c r="BH12" s="399">
        <v>125</v>
      </c>
      <c r="BI12" s="399"/>
      <c r="BJ12" s="399">
        <v>130</v>
      </c>
      <c r="BK12" s="399"/>
      <c r="BL12" s="399" t="s">
        <v>253</v>
      </c>
      <c r="BM12" s="399"/>
      <c r="BN12" s="399"/>
      <c r="BO12" s="399"/>
      <c r="BP12" s="399" t="s">
        <v>254</v>
      </c>
      <c r="BQ12" s="399"/>
      <c r="BR12" s="399"/>
      <c r="BS12" s="399"/>
      <c r="BT12" s="419" t="s">
        <v>257</v>
      </c>
      <c r="BU12" s="419"/>
      <c r="BV12" s="419" t="s">
        <v>257</v>
      </c>
      <c r="BW12" s="419"/>
      <c r="BX12" s="417" t="s">
        <v>33</v>
      </c>
      <c r="BY12" s="399"/>
      <c r="BZ12" s="399"/>
      <c r="CA12" s="524" t="s">
        <v>289</v>
      </c>
      <c r="CB12" s="525"/>
      <c r="CC12" s="525"/>
      <c r="CD12" s="525"/>
      <c r="CE12" s="525"/>
      <c r="CF12" s="525"/>
      <c r="CG12" s="525"/>
      <c r="CH12" s="525"/>
      <c r="CI12" s="525"/>
      <c r="CJ12" s="525"/>
      <c r="CK12" s="526"/>
    </row>
    <row r="13" spans="1:112" s="87" customFormat="1" ht="25.65" customHeight="1">
      <c r="A13" s="398">
        <v>10</v>
      </c>
      <c r="B13" s="399"/>
      <c r="C13" s="404" t="s">
        <v>266</v>
      </c>
      <c r="D13" s="404"/>
      <c r="E13" s="404"/>
      <c r="F13" s="404"/>
      <c r="G13" s="404"/>
      <c r="H13" s="404"/>
      <c r="I13" s="415" t="s">
        <v>251</v>
      </c>
      <c r="J13" s="415"/>
      <c r="K13" s="415"/>
      <c r="L13" s="415"/>
      <c r="M13" s="451" t="s">
        <v>276</v>
      </c>
      <c r="N13" s="452"/>
      <c r="O13" s="452"/>
      <c r="P13" s="453"/>
      <c r="Q13" s="415" t="s">
        <v>140</v>
      </c>
      <c r="R13" s="415"/>
      <c r="S13" s="415"/>
      <c r="T13" s="415"/>
      <c r="U13" s="415" t="s">
        <v>252</v>
      </c>
      <c r="V13" s="415"/>
      <c r="W13" s="415"/>
      <c r="X13" s="404" t="s">
        <v>71</v>
      </c>
      <c r="Y13" s="404"/>
      <c r="Z13" s="404"/>
      <c r="AA13" s="416" t="s">
        <v>274</v>
      </c>
      <c r="AB13" s="416"/>
      <c r="AC13" s="416"/>
      <c r="AD13" s="416"/>
      <c r="AE13" s="416"/>
      <c r="AF13" s="416"/>
      <c r="AG13" s="416"/>
      <c r="AH13" s="416"/>
      <c r="AI13" s="416"/>
      <c r="AJ13" s="416"/>
      <c r="AK13" s="416"/>
      <c r="AL13" s="404" t="s">
        <v>277</v>
      </c>
      <c r="AM13" s="404"/>
      <c r="AN13" s="404"/>
      <c r="AO13" s="404"/>
      <c r="AP13" s="404"/>
      <c r="AQ13" s="404"/>
      <c r="AR13" s="404"/>
      <c r="AS13" s="404"/>
      <c r="AT13" s="404"/>
      <c r="AU13" s="404"/>
      <c r="AV13" s="404"/>
      <c r="AW13" s="418"/>
      <c r="AX13" s="418"/>
      <c r="AY13" s="418"/>
      <c r="AZ13" s="404"/>
      <c r="BA13" s="404"/>
      <c r="BB13" s="404"/>
      <c r="BC13" s="404"/>
      <c r="BD13" s="404"/>
      <c r="BE13" s="404"/>
      <c r="BF13" s="404">
        <v>120</v>
      </c>
      <c r="BG13" s="404"/>
      <c r="BH13" s="399">
        <v>125</v>
      </c>
      <c r="BI13" s="399"/>
      <c r="BJ13" s="399">
        <v>130</v>
      </c>
      <c r="BK13" s="399"/>
      <c r="BL13" s="399" t="s">
        <v>253</v>
      </c>
      <c r="BM13" s="399"/>
      <c r="BN13" s="399"/>
      <c r="BO13" s="399"/>
      <c r="BP13" s="399" t="s">
        <v>254</v>
      </c>
      <c r="BQ13" s="399"/>
      <c r="BR13" s="399"/>
      <c r="BS13" s="399"/>
      <c r="BT13" s="419" t="s">
        <v>257</v>
      </c>
      <c r="BU13" s="419"/>
      <c r="BV13" s="419" t="s">
        <v>257</v>
      </c>
      <c r="BW13" s="419"/>
      <c r="BX13" s="417" t="s">
        <v>33</v>
      </c>
      <c r="BY13" s="399"/>
      <c r="BZ13" s="399"/>
      <c r="CA13" s="524" t="s">
        <v>289</v>
      </c>
      <c r="CB13" s="525"/>
      <c r="CC13" s="525"/>
      <c r="CD13" s="525"/>
      <c r="CE13" s="525"/>
      <c r="CF13" s="525"/>
      <c r="CG13" s="525"/>
      <c r="CH13" s="525"/>
      <c r="CI13" s="525"/>
      <c r="CJ13" s="525"/>
      <c r="CK13" s="526"/>
    </row>
    <row r="14" spans="1:112" s="87" customFormat="1" ht="25.65" customHeight="1">
      <c r="A14" s="398">
        <v>11</v>
      </c>
      <c r="B14" s="399"/>
      <c r="C14" s="404" t="s">
        <v>278</v>
      </c>
      <c r="D14" s="404"/>
      <c r="E14" s="404"/>
      <c r="F14" s="404"/>
      <c r="G14" s="404"/>
      <c r="H14" s="404"/>
      <c r="I14" s="415" t="s">
        <v>279</v>
      </c>
      <c r="J14" s="415"/>
      <c r="K14" s="415"/>
      <c r="L14" s="415"/>
      <c r="M14" s="423" t="s">
        <v>264</v>
      </c>
      <c r="N14" s="424"/>
      <c r="O14" s="424"/>
      <c r="P14" s="425"/>
      <c r="Q14" s="415" t="s">
        <v>140</v>
      </c>
      <c r="R14" s="415"/>
      <c r="S14" s="415"/>
      <c r="T14" s="415"/>
      <c r="U14" s="415" t="s">
        <v>252</v>
      </c>
      <c r="V14" s="415"/>
      <c r="W14" s="415"/>
      <c r="X14" s="404" t="s">
        <v>71</v>
      </c>
      <c r="Y14" s="404"/>
      <c r="Z14" s="404"/>
      <c r="AA14" s="416" t="s">
        <v>280</v>
      </c>
      <c r="AB14" s="416"/>
      <c r="AC14" s="416"/>
      <c r="AD14" s="416"/>
      <c r="AE14" s="416"/>
      <c r="AF14" s="416"/>
      <c r="AG14" s="416"/>
      <c r="AH14" s="416"/>
      <c r="AI14" s="416"/>
      <c r="AJ14" s="416"/>
      <c r="AK14" s="416"/>
      <c r="AL14" s="404" t="s">
        <v>281</v>
      </c>
      <c r="AM14" s="404"/>
      <c r="AN14" s="404"/>
      <c r="AO14" s="404"/>
      <c r="AP14" s="404"/>
      <c r="AQ14" s="404"/>
      <c r="AR14" s="404"/>
      <c r="AS14" s="404"/>
      <c r="AT14" s="404"/>
      <c r="AU14" s="404"/>
      <c r="AV14" s="404"/>
      <c r="AW14" s="418"/>
      <c r="AX14" s="418"/>
      <c r="AY14" s="418"/>
      <c r="AZ14" s="404"/>
      <c r="BA14" s="404"/>
      <c r="BB14" s="404"/>
      <c r="BC14" s="404"/>
      <c r="BD14" s="404"/>
      <c r="BE14" s="404"/>
      <c r="BF14" s="404">
        <v>120</v>
      </c>
      <c r="BG14" s="404"/>
      <c r="BH14" s="399">
        <v>125</v>
      </c>
      <c r="BI14" s="399"/>
      <c r="BJ14" s="399">
        <v>130</v>
      </c>
      <c r="BK14" s="399"/>
      <c r="BL14" s="399" t="s">
        <v>253</v>
      </c>
      <c r="BM14" s="399"/>
      <c r="BN14" s="399"/>
      <c r="BO14" s="399"/>
      <c r="BP14" s="399" t="s">
        <v>254</v>
      </c>
      <c r="BQ14" s="399"/>
      <c r="BR14" s="399"/>
      <c r="BS14" s="399"/>
      <c r="BT14" s="419" t="s">
        <v>257</v>
      </c>
      <c r="BU14" s="419"/>
      <c r="BV14" s="419" t="s">
        <v>257</v>
      </c>
      <c r="BW14" s="419"/>
      <c r="BX14" s="417" t="s">
        <v>33</v>
      </c>
      <c r="BY14" s="399"/>
      <c r="BZ14" s="399"/>
      <c r="CA14" s="524"/>
      <c r="CB14" s="525"/>
      <c r="CC14" s="525"/>
      <c r="CD14" s="525"/>
      <c r="CE14" s="525"/>
      <c r="CF14" s="525"/>
      <c r="CG14" s="525"/>
      <c r="CH14" s="525"/>
      <c r="CI14" s="525"/>
      <c r="CJ14" s="525"/>
      <c r="CK14" s="526"/>
    </row>
    <row r="15" spans="1:112" s="111" customFormat="1" ht="25.65" customHeight="1">
      <c r="A15" s="398">
        <v>12</v>
      </c>
      <c r="B15" s="399"/>
      <c r="C15" s="429" t="s">
        <v>282</v>
      </c>
      <c r="D15" s="481"/>
      <c r="E15" s="481"/>
      <c r="F15" s="481"/>
      <c r="G15" s="481"/>
      <c r="H15" s="430"/>
      <c r="I15" s="415" t="s">
        <v>251</v>
      </c>
      <c r="J15" s="415"/>
      <c r="K15" s="415"/>
      <c r="L15" s="415"/>
      <c r="M15" s="423" t="s">
        <v>264</v>
      </c>
      <c r="N15" s="424"/>
      <c r="O15" s="424"/>
      <c r="P15" s="425"/>
      <c r="Q15" s="415" t="s">
        <v>140</v>
      </c>
      <c r="R15" s="415"/>
      <c r="S15" s="415"/>
      <c r="T15" s="415"/>
      <c r="U15" s="415" t="s">
        <v>284</v>
      </c>
      <c r="V15" s="415"/>
      <c r="W15" s="415"/>
      <c r="X15" s="404" t="s">
        <v>71</v>
      </c>
      <c r="Y15" s="404"/>
      <c r="Z15" s="404"/>
      <c r="AA15" s="420" t="s">
        <v>283</v>
      </c>
      <c r="AB15" s="421"/>
      <c r="AC15" s="421"/>
      <c r="AD15" s="421"/>
      <c r="AE15" s="421"/>
      <c r="AF15" s="421"/>
      <c r="AG15" s="421"/>
      <c r="AH15" s="421"/>
      <c r="AI15" s="421"/>
      <c r="AJ15" s="421"/>
      <c r="AK15" s="422"/>
      <c r="AL15" s="429" t="s">
        <v>265</v>
      </c>
      <c r="AM15" s="481"/>
      <c r="AN15" s="481"/>
      <c r="AO15" s="481"/>
      <c r="AP15" s="481"/>
      <c r="AQ15" s="481"/>
      <c r="AR15" s="481"/>
      <c r="AS15" s="481"/>
      <c r="AT15" s="481"/>
      <c r="AU15" s="481"/>
      <c r="AV15" s="430"/>
      <c r="AW15" s="426"/>
      <c r="AX15" s="427"/>
      <c r="AY15" s="428"/>
      <c r="AZ15" s="429"/>
      <c r="BA15" s="430"/>
      <c r="BB15" s="429"/>
      <c r="BC15" s="430"/>
      <c r="BD15" s="429"/>
      <c r="BE15" s="430"/>
      <c r="BF15" s="404">
        <v>120</v>
      </c>
      <c r="BG15" s="404"/>
      <c r="BH15" s="399">
        <v>125</v>
      </c>
      <c r="BI15" s="399"/>
      <c r="BJ15" s="399">
        <v>130</v>
      </c>
      <c r="BK15" s="399"/>
      <c r="BL15" s="399" t="s">
        <v>253</v>
      </c>
      <c r="BM15" s="399"/>
      <c r="BN15" s="399"/>
      <c r="BO15" s="399"/>
      <c r="BP15" s="399" t="s">
        <v>254</v>
      </c>
      <c r="BQ15" s="399"/>
      <c r="BR15" s="399"/>
      <c r="BS15" s="399"/>
      <c r="BT15" s="419" t="s">
        <v>257</v>
      </c>
      <c r="BU15" s="419"/>
      <c r="BV15" s="419" t="s">
        <v>257</v>
      </c>
      <c r="BW15" s="419"/>
      <c r="BX15" s="417" t="s">
        <v>33</v>
      </c>
      <c r="BY15" s="399"/>
      <c r="BZ15" s="399"/>
      <c r="CA15" s="524"/>
      <c r="CB15" s="525"/>
      <c r="CC15" s="525"/>
      <c r="CD15" s="525"/>
      <c r="CE15" s="525"/>
      <c r="CF15" s="525"/>
      <c r="CG15" s="525"/>
      <c r="CH15" s="525"/>
      <c r="CI15" s="525"/>
      <c r="CJ15" s="525"/>
      <c r="CK15" s="526"/>
    </row>
    <row r="16" spans="1:112" s="87" customFormat="1" ht="25.65" customHeight="1">
      <c r="A16" s="398">
        <v>13</v>
      </c>
      <c r="B16" s="399"/>
      <c r="C16" s="404" t="s">
        <v>285</v>
      </c>
      <c r="D16" s="404"/>
      <c r="E16" s="404"/>
      <c r="F16" s="404"/>
      <c r="G16" s="404"/>
      <c r="H16" s="404"/>
      <c r="I16" s="415" t="s">
        <v>251</v>
      </c>
      <c r="J16" s="415"/>
      <c r="K16" s="415"/>
      <c r="L16" s="415"/>
      <c r="M16" s="415" t="s">
        <v>286</v>
      </c>
      <c r="N16" s="415"/>
      <c r="O16" s="415"/>
      <c r="P16" s="415"/>
      <c r="Q16" s="415" t="s">
        <v>140</v>
      </c>
      <c r="R16" s="415"/>
      <c r="S16" s="415"/>
      <c r="T16" s="415"/>
      <c r="U16" s="415" t="s">
        <v>252</v>
      </c>
      <c r="V16" s="415"/>
      <c r="W16" s="415"/>
      <c r="X16" s="404" t="s">
        <v>71</v>
      </c>
      <c r="Y16" s="404"/>
      <c r="Z16" s="404"/>
      <c r="AA16" s="416" t="s">
        <v>288</v>
      </c>
      <c r="AB16" s="416"/>
      <c r="AC16" s="416"/>
      <c r="AD16" s="416"/>
      <c r="AE16" s="416"/>
      <c r="AF16" s="416"/>
      <c r="AG16" s="416"/>
      <c r="AH16" s="416"/>
      <c r="AI16" s="416"/>
      <c r="AJ16" s="416"/>
      <c r="AK16" s="416"/>
      <c r="AL16" s="404" t="s">
        <v>248</v>
      </c>
      <c r="AM16" s="404"/>
      <c r="AN16" s="404"/>
      <c r="AO16" s="404"/>
      <c r="AP16" s="404"/>
      <c r="AQ16" s="404"/>
      <c r="AR16" s="404"/>
      <c r="AS16" s="404"/>
      <c r="AT16" s="404"/>
      <c r="AU16" s="404"/>
      <c r="AV16" s="404"/>
      <c r="AW16" s="418"/>
      <c r="AX16" s="418"/>
      <c r="AY16" s="418"/>
      <c r="AZ16" s="404"/>
      <c r="BA16" s="404"/>
      <c r="BB16" s="404"/>
      <c r="BC16" s="404"/>
      <c r="BD16" s="404"/>
      <c r="BE16" s="404"/>
      <c r="BF16" s="404">
        <v>120</v>
      </c>
      <c r="BG16" s="404"/>
      <c r="BH16" s="399">
        <v>125</v>
      </c>
      <c r="BI16" s="399"/>
      <c r="BJ16" s="399">
        <v>130</v>
      </c>
      <c r="BK16" s="399"/>
      <c r="BL16" s="399" t="s">
        <v>253</v>
      </c>
      <c r="BM16" s="399"/>
      <c r="BN16" s="399"/>
      <c r="BO16" s="399"/>
      <c r="BP16" s="399" t="s">
        <v>254</v>
      </c>
      <c r="BQ16" s="399"/>
      <c r="BR16" s="399"/>
      <c r="BS16" s="399"/>
      <c r="BT16" s="419" t="s">
        <v>257</v>
      </c>
      <c r="BU16" s="419"/>
      <c r="BV16" s="419" t="s">
        <v>257</v>
      </c>
      <c r="BW16" s="419"/>
      <c r="BX16" s="417" t="s">
        <v>33</v>
      </c>
      <c r="BY16" s="399"/>
      <c r="BZ16" s="399"/>
      <c r="CA16" s="524" t="s">
        <v>289</v>
      </c>
      <c r="CB16" s="525"/>
      <c r="CC16" s="525"/>
      <c r="CD16" s="525"/>
      <c r="CE16" s="525"/>
      <c r="CF16" s="525"/>
      <c r="CG16" s="525"/>
      <c r="CH16" s="525"/>
      <c r="CI16" s="525"/>
      <c r="CJ16" s="525"/>
      <c r="CK16" s="526"/>
    </row>
    <row r="17" spans="1:106" s="87" customFormat="1" ht="25.65" customHeight="1">
      <c r="A17" s="398">
        <v>14</v>
      </c>
      <c r="B17" s="399"/>
      <c r="C17" s="404" t="s">
        <v>285</v>
      </c>
      <c r="D17" s="404"/>
      <c r="E17" s="404"/>
      <c r="F17" s="404"/>
      <c r="G17" s="404"/>
      <c r="H17" s="404"/>
      <c r="I17" s="415" t="s">
        <v>251</v>
      </c>
      <c r="J17" s="415"/>
      <c r="K17" s="415"/>
      <c r="L17" s="415"/>
      <c r="M17" s="415" t="s">
        <v>287</v>
      </c>
      <c r="N17" s="415"/>
      <c r="O17" s="415"/>
      <c r="P17" s="415"/>
      <c r="Q17" s="415" t="s">
        <v>140</v>
      </c>
      <c r="R17" s="415"/>
      <c r="S17" s="415"/>
      <c r="T17" s="415"/>
      <c r="U17" s="415" t="s">
        <v>252</v>
      </c>
      <c r="V17" s="415"/>
      <c r="W17" s="415"/>
      <c r="X17" s="404" t="s">
        <v>71</v>
      </c>
      <c r="Y17" s="404"/>
      <c r="Z17" s="404"/>
      <c r="AA17" s="416" t="s">
        <v>288</v>
      </c>
      <c r="AB17" s="416"/>
      <c r="AC17" s="416"/>
      <c r="AD17" s="416"/>
      <c r="AE17" s="416"/>
      <c r="AF17" s="416"/>
      <c r="AG17" s="416"/>
      <c r="AH17" s="416"/>
      <c r="AI17" s="416"/>
      <c r="AJ17" s="416"/>
      <c r="AK17" s="416"/>
      <c r="AL17" s="404" t="s">
        <v>261</v>
      </c>
      <c r="AM17" s="404"/>
      <c r="AN17" s="404"/>
      <c r="AO17" s="404"/>
      <c r="AP17" s="404"/>
      <c r="AQ17" s="404"/>
      <c r="AR17" s="404"/>
      <c r="AS17" s="404"/>
      <c r="AT17" s="404"/>
      <c r="AU17" s="404"/>
      <c r="AV17" s="404"/>
      <c r="AW17" s="418"/>
      <c r="AX17" s="418"/>
      <c r="AY17" s="418"/>
      <c r="AZ17" s="404"/>
      <c r="BA17" s="404"/>
      <c r="BB17" s="404"/>
      <c r="BC17" s="404"/>
      <c r="BD17" s="404"/>
      <c r="BE17" s="404"/>
      <c r="BF17" s="404">
        <v>120</v>
      </c>
      <c r="BG17" s="404"/>
      <c r="BH17" s="399">
        <v>125</v>
      </c>
      <c r="BI17" s="399"/>
      <c r="BJ17" s="399">
        <v>130</v>
      </c>
      <c r="BK17" s="399"/>
      <c r="BL17" s="399" t="s">
        <v>253</v>
      </c>
      <c r="BM17" s="399"/>
      <c r="BN17" s="399"/>
      <c r="BO17" s="399"/>
      <c r="BP17" s="399" t="s">
        <v>254</v>
      </c>
      <c r="BQ17" s="399"/>
      <c r="BR17" s="399"/>
      <c r="BS17" s="399"/>
      <c r="BT17" s="419" t="s">
        <v>257</v>
      </c>
      <c r="BU17" s="419"/>
      <c r="BV17" s="419" t="s">
        <v>257</v>
      </c>
      <c r="BW17" s="419"/>
      <c r="BX17" s="417" t="s">
        <v>33</v>
      </c>
      <c r="BY17" s="399"/>
      <c r="BZ17" s="399"/>
      <c r="CA17" s="524" t="s">
        <v>262</v>
      </c>
      <c r="CB17" s="525"/>
      <c r="CC17" s="525"/>
      <c r="CD17" s="525"/>
      <c r="CE17" s="525"/>
      <c r="CF17" s="525"/>
      <c r="CG17" s="525"/>
      <c r="CH17" s="525"/>
      <c r="CI17" s="525"/>
      <c r="CJ17" s="525"/>
      <c r="CK17" s="526"/>
    </row>
    <row r="18" spans="1:106" s="111" customFormat="1" ht="25.65" customHeight="1">
      <c r="A18" s="398">
        <v>15</v>
      </c>
      <c r="B18" s="399"/>
      <c r="C18" s="404"/>
      <c r="D18" s="404"/>
      <c r="E18" s="404"/>
      <c r="F18" s="404"/>
      <c r="G18" s="404"/>
      <c r="H18" s="404"/>
      <c r="I18" s="415"/>
      <c r="J18" s="415"/>
      <c r="K18" s="415"/>
      <c r="L18" s="415"/>
      <c r="M18" s="415"/>
      <c r="N18" s="415"/>
      <c r="O18" s="415"/>
      <c r="P18" s="415"/>
      <c r="Q18" s="415"/>
      <c r="R18" s="415"/>
      <c r="S18" s="415"/>
      <c r="T18" s="415"/>
      <c r="U18" s="415"/>
      <c r="V18" s="415"/>
      <c r="W18" s="415"/>
      <c r="X18" s="404"/>
      <c r="Y18" s="404"/>
      <c r="Z18" s="404"/>
      <c r="AA18" s="416"/>
      <c r="AB18" s="416"/>
      <c r="AC18" s="416"/>
      <c r="AD18" s="416"/>
      <c r="AE18" s="416"/>
      <c r="AF18" s="416"/>
      <c r="AG18" s="416"/>
      <c r="AH18" s="416"/>
      <c r="AI18" s="416"/>
      <c r="AJ18" s="416"/>
      <c r="AK18" s="416"/>
      <c r="AL18" s="404"/>
      <c r="AM18" s="404"/>
      <c r="AN18" s="404"/>
      <c r="AO18" s="404"/>
      <c r="AP18" s="404"/>
      <c r="AQ18" s="404"/>
      <c r="AR18" s="404"/>
      <c r="AS18" s="404"/>
      <c r="AT18" s="404"/>
      <c r="AU18" s="404"/>
      <c r="AV18" s="404"/>
      <c r="AW18" s="418"/>
      <c r="AX18" s="418"/>
      <c r="AY18" s="418"/>
      <c r="AZ18" s="404"/>
      <c r="BA18" s="404"/>
      <c r="BB18" s="404"/>
      <c r="BC18" s="404"/>
      <c r="BD18" s="404"/>
      <c r="BE18" s="404"/>
      <c r="BF18" s="404"/>
      <c r="BG18" s="404"/>
      <c r="BH18" s="404"/>
      <c r="BI18" s="404"/>
      <c r="BJ18" s="404"/>
      <c r="BK18" s="404"/>
      <c r="BL18" s="404"/>
      <c r="BM18" s="404"/>
      <c r="BN18" s="404"/>
      <c r="BO18" s="404"/>
      <c r="BP18" s="404"/>
      <c r="BQ18" s="404"/>
      <c r="BR18" s="404"/>
      <c r="BS18" s="404"/>
      <c r="BT18" s="402"/>
      <c r="BU18" s="402"/>
      <c r="BV18" s="403"/>
      <c r="BW18" s="403"/>
      <c r="BX18" s="417" t="s">
        <v>33</v>
      </c>
      <c r="BY18" s="399"/>
      <c r="BZ18" s="399"/>
      <c r="CA18" s="524"/>
      <c r="CB18" s="525"/>
      <c r="CC18" s="525"/>
      <c r="CD18" s="525"/>
      <c r="CE18" s="525"/>
      <c r="CF18" s="525"/>
      <c r="CG18" s="525"/>
      <c r="CH18" s="525"/>
      <c r="CI18" s="525"/>
      <c r="CJ18" s="525"/>
      <c r="CK18" s="526"/>
    </row>
    <row r="19" spans="1:106" s="87" customFormat="1" ht="25.65" customHeight="1">
      <c r="A19" s="398">
        <v>16</v>
      </c>
      <c r="B19" s="399"/>
      <c r="C19" s="404"/>
      <c r="D19" s="404"/>
      <c r="E19" s="404"/>
      <c r="F19" s="404"/>
      <c r="G19" s="404"/>
      <c r="H19" s="404"/>
      <c r="I19" s="415"/>
      <c r="J19" s="415"/>
      <c r="K19" s="415"/>
      <c r="L19" s="415"/>
      <c r="M19" s="415"/>
      <c r="N19" s="415"/>
      <c r="O19" s="415"/>
      <c r="P19" s="415"/>
      <c r="Q19" s="415"/>
      <c r="R19" s="415"/>
      <c r="S19" s="415"/>
      <c r="T19" s="415"/>
      <c r="U19" s="415"/>
      <c r="V19" s="415"/>
      <c r="W19" s="415"/>
      <c r="X19" s="404"/>
      <c r="Y19" s="404"/>
      <c r="Z19" s="404"/>
      <c r="AA19" s="416"/>
      <c r="AB19" s="416"/>
      <c r="AC19" s="416"/>
      <c r="AD19" s="416"/>
      <c r="AE19" s="416"/>
      <c r="AF19" s="416"/>
      <c r="AG19" s="416"/>
      <c r="AH19" s="416"/>
      <c r="AI19" s="416"/>
      <c r="AJ19" s="416"/>
      <c r="AK19" s="416"/>
      <c r="AL19" s="404"/>
      <c r="AM19" s="404"/>
      <c r="AN19" s="404"/>
      <c r="AO19" s="404"/>
      <c r="AP19" s="404"/>
      <c r="AQ19" s="404"/>
      <c r="AR19" s="404"/>
      <c r="AS19" s="404"/>
      <c r="AT19" s="404"/>
      <c r="AU19" s="404"/>
      <c r="AV19" s="404"/>
      <c r="AW19" s="418"/>
      <c r="AX19" s="418"/>
      <c r="AY19" s="418"/>
      <c r="AZ19" s="404"/>
      <c r="BA19" s="404"/>
      <c r="BB19" s="404"/>
      <c r="BC19" s="404"/>
      <c r="BD19" s="404"/>
      <c r="BE19" s="404"/>
      <c r="BF19" s="404"/>
      <c r="BG19" s="404"/>
      <c r="BH19" s="404"/>
      <c r="BI19" s="404"/>
      <c r="BJ19" s="404"/>
      <c r="BK19" s="404"/>
      <c r="BL19" s="404"/>
      <c r="BM19" s="404"/>
      <c r="BN19" s="404"/>
      <c r="BO19" s="404"/>
      <c r="BP19" s="404"/>
      <c r="BQ19" s="404"/>
      <c r="BR19" s="404"/>
      <c r="BS19" s="404"/>
      <c r="BT19" s="402"/>
      <c r="BU19" s="402"/>
      <c r="BV19" s="403"/>
      <c r="BW19" s="403"/>
      <c r="BX19" s="417" t="s">
        <v>33</v>
      </c>
      <c r="BY19" s="399"/>
      <c r="BZ19" s="399"/>
      <c r="CA19" s="524"/>
      <c r="CB19" s="525"/>
      <c r="CC19" s="525"/>
      <c r="CD19" s="525"/>
      <c r="CE19" s="525"/>
      <c r="CF19" s="525"/>
      <c r="CG19" s="525"/>
      <c r="CH19" s="525"/>
      <c r="CI19" s="525"/>
      <c r="CJ19" s="525"/>
      <c r="CK19" s="526"/>
    </row>
    <row r="20" spans="1:106" s="87" customFormat="1" ht="25.65" customHeight="1">
      <c r="A20" s="398">
        <v>17</v>
      </c>
      <c r="B20" s="399"/>
      <c r="C20" s="404"/>
      <c r="D20" s="404"/>
      <c r="E20" s="404"/>
      <c r="F20" s="404"/>
      <c r="G20" s="404"/>
      <c r="H20" s="404"/>
      <c r="I20" s="415"/>
      <c r="J20" s="415"/>
      <c r="K20" s="415"/>
      <c r="L20" s="415"/>
      <c r="M20" s="415"/>
      <c r="N20" s="415"/>
      <c r="O20" s="415"/>
      <c r="P20" s="415"/>
      <c r="Q20" s="415"/>
      <c r="R20" s="415"/>
      <c r="S20" s="415"/>
      <c r="T20" s="415"/>
      <c r="U20" s="415"/>
      <c r="V20" s="415"/>
      <c r="W20" s="415"/>
      <c r="X20" s="404"/>
      <c r="Y20" s="404"/>
      <c r="Z20" s="404"/>
      <c r="AA20" s="416"/>
      <c r="AB20" s="416"/>
      <c r="AC20" s="416"/>
      <c r="AD20" s="416"/>
      <c r="AE20" s="416"/>
      <c r="AF20" s="416"/>
      <c r="AG20" s="416"/>
      <c r="AH20" s="416"/>
      <c r="AI20" s="416"/>
      <c r="AJ20" s="416"/>
      <c r="AK20" s="416"/>
      <c r="AL20" s="404"/>
      <c r="AM20" s="404"/>
      <c r="AN20" s="404"/>
      <c r="AO20" s="404"/>
      <c r="AP20" s="404"/>
      <c r="AQ20" s="404"/>
      <c r="AR20" s="404"/>
      <c r="AS20" s="404"/>
      <c r="AT20" s="404"/>
      <c r="AU20" s="404"/>
      <c r="AV20" s="404"/>
      <c r="AW20" s="418"/>
      <c r="AX20" s="418"/>
      <c r="AY20" s="418"/>
      <c r="AZ20" s="404"/>
      <c r="BA20" s="404"/>
      <c r="BB20" s="404"/>
      <c r="BC20" s="404"/>
      <c r="BD20" s="404"/>
      <c r="BE20" s="404"/>
      <c r="BF20" s="404"/>
      <c r="BG20" s="404"/>
      <c r="BH20" s="404"/>
      <c r="BI20" s="404"/>
      <c r="BJ20" s="404"/>
      <c r="BK20" s="404"/>
      <c r="BL20" s="404"/>
      <c r="BM20" s="404"/>
      <c r="BN20" s="404"/>
      <c r="BO20" s="404"/>
      <c r="BP20" s="404"/>
      <c r="BQ20" s="404"/>
      <c r="BR20" s="404"/>
      <c r="BS20" s="404"/>
      <c r="BT20" s="402"/>
      <c r="BU20" s="402"/>
      <c r="BV20" s="403"/>
      <c r="BW20" s="403"/>
      <c r="BX20" s="417" t="s">
        <v>33</v>
      </c>
      <c r="BY20" s="399"/>
      <c r="BZ20" s="399"/>
      <c r="CA20" s="524"/>
      <c r="CB20" s="525"/>
      <c r="CC20" s="525"/>
      <c r="CD20" s="525"/>
      <c r="CE20" s="525"/>
      <c r="CF20" s="525"/>
      <c r="CG20" s="525"/>
      <c r="CH20" s="525"/>
      <c r="CI20" s="525"/>
      <c r="CJ20" s="525"/>
      <c r="CK20" s="526"/>
    </row>
    <row r="21" spans="1:106" s="111" customFormat="1" ht="25.65" customHeight="1">
      <c r="A21" s="398">
        <v>18</v>
      </c>
      <c r="B21" s="399"/>
      <c r="C21" s="404"/>
      <c r="D21" s="404"/>
      <c r="E21" s="404"/>
      <c r="F21" s="404"/>
      <c r="G21" s="404"/>
      <c r="H21" s="404"/>
      <c r="I21" s="415"/>
      <c r="J21" s="415"/>
      <c r="K21" s="415"/>
      <c r="L21" s="415"/>
      <c r="M21" s="415"/>
      <c r="N21" s="415"/>
      <c r="O21" s="415"/>
      <c r="P21" s="415"/>
      <c r="Q21" s="415"/>
      <c r="R21" s="415"/>
      <c r="S21" s="415"/>
      <c r="T21" s="415"/>
      <c r="U21" s="415"/>
      <c r="V21" s="415"/>
      <c r="W21" s="415"/>
      <c r="X21" s="404"/>
      <c r="Y21" s="404"/>
      <c r="Z21" s="404"/>
      <c r="AA21" s="416"/>
      <c r="AB21" s="416"/>
      <c r="AC21" s="416"/>
      <c r="AD21" s="416"/>
      <c r="AE21" s="416"/>
      <c r="AF21" s="416"/>
      <c r="AG21" s="416"/>
      <c r="AH21" s="416"/>
      <c r="AI21" s="416"/>
      <c r="AJ21" s="416"/>
      <c r="AK21" s="416"/>
      <c r="AL21" s="404"/>
      <c r="AM21" s="404"/>
      <c r="AN21" s="404"/>
      <c r="AO21" s="404"/>
      <c r="AP21" s="404"/>
      <c r="AQ21" s="404"/>
      <c r="AR21" s="404"/>
      <c r="AS21" s="404"/>
      <c r="AT21" s="404"/>
      <c r="AU21" s="404"/>
      <c r="AV21" s="404"/>
      <c r="AW21" s="418"/>
      <c r="AX21" s="418"/>
      <c r="AY21" s="418"/>
      <c r="AZ21" s="404"/>
      <c r="BA21" s="404"/>
      <c r="BB21" s="404"/>
      <c r="BC21" s="404"/>
      <c r="BD21" s="404"/>
      <c r="BE21" s="404"/>
      <c r="BF21" s="404"/>
      <c r="BG21" s="404"/>
      <c r="BH21" s="404"/>
      <c r="BI21" s="404"/>
      <c r="BJ21" s="404"/>
      <c r="BK21" s="404"/>
      <c r="BL21" s="404"/>
      <c r="BM21" s="404"/>
      <c r="BN21" s="404"/>
      <c r="BO21" s="404"/>
      <c r="BP21" s="404"/>
      <c r="BQ21" s="404"/>
      <c r="BR21" s="404"/>
      <c r="BS21" s="404"/>
      <c r="BT21" s="402"/>
      <c r="BU21" s="402"/>
      <c r="BV21" s="403"/>
      <c r="BW21" s="403"/>
      <c r="BX21" s="417" t="s">
        <v>33</v>
      </c>
      <c r="BY21" s="399"/>
      <c r="BZ21" s="399"/>
      <c r="CA21" s="524"/>
      <c r="CB21" s="525"/>
      <c r="CC21" s="525"/>
      <c r="CD21" s="525"/>
      <c r="CE21" s="525"/>
      <c r="CF21" s="525"/>
      <c r="CG21" s="525"/>
      <c r="CH21" s="525"/>
      <c r="CI21" s="525"/>
      <c r="CJ21" s="525"/>
      <c r="CK21" s="526"/>
    </row>
    <row r="22" spans="1:106" s="87" customFormat="1" ht="25.65" customHeight="1">
      <c r="A22" s="398">
        <v>19</v>
      </c>
      <c r="B22" s="399"/>
      <c r="C22" s="404"/>
      <c r="D22" s="404"/>
      <c r="E22" s="404"/>
      <c r="F22" s="404"/>
      <c r="G22" s="404"/>
      <c r="H22" s="404"/>
      <c r="I22" s="415"/>
      <c r="J22" s="415"/>
      <c r="K22" s="415"/>
      <c r="L22" s="415"/>
      <c r="M22" s="415"/>
      <c r="N22" s="415"/>
      <c r="O22" s="415"/>
      <c r="P22" s="415"/>
      <c r="Q22" s="415"/>
      <c r="R22" s="415"/>
      <c r="S22" s="415"/>
      <c r="T22" s="415"/>
      <c r="U22" s="415"/>
      <c r="V22" s="415"/>
      <c r="W22" s="415"/>
      <c r="X22" s="404"/>
      <c r="Y22" s="404"/>
      <c r="Z22" s="404"/>
      <c r="AA22" s="416"/>
      <c r="AB22" s="416"/>
      <c r="AC22" s="416"/>
      <c r="AD22" s="416"/>
      <c r="AE22" s="416"/>
      <c r="AF22" s="416"/>
      <c r="AG22" s="416"/>
      <c r="AH22" s="416"/>
      <c r="AI22" s="416"/>
      <c r="AJ22" s="416"/>
      <c r="AK22" s="416"/>
      <c r="AL22" s="416"/>
      <c r="AM22" s="416"/>
      <c r="AN22" s="416"/>
      <c r="AO22" s="416"/>
      <c r="AP22" s="416"/>
      <c r="AQ22" s="416"/>
      <c r="AR22" s="416"/>
      <c r="AS22" s="416"/>
      <c r="AT22" s="416"/>
      <c r="AU22" s="416"/>
      <c r="AV22" s="416"/>
      <c r="AW22" s="418"/>
      <c r="AX22" s="418"/>
      <c r="AY22" s="418"/>
      <c r="AZ22" s="404"/>
      <c r="BA22" s="404"/>
      <c r="BB22" s="404"/>
      <c r="BC22" s="404"/>
      <c r="BD22" s="404"/>
      <c r="BE22" s="404"/>
      <c r="BF22" s="404"/>
      <c r="BG22" s="404"/>
      <c r="BH22" s="404"/>
      <c r="BI22" s="404"/>
      <c r="BJ22" s="404"/>
      <c r="BK22" s="404"/>
      <c r="BL22" s="404"/>
      <c r="BM22" s="404"/>
      <c r="BN22" s="404"/>
      <c r="BO22" s="404"/>
      <c r="BP22" s="404"/>
      <c r="BQ22" s="404"/>
      <c r="BR22" s="404"/>
      <c r="BS22" s="404"/>
      <c r="BT22" s="402"/>
      <c r="BU22" s="402"/>
      <c r="BV22" s="403"/>
      <c r="BW22" s="403"/>
      <c r="BX22" s="417" t="s">
        <v>33</v>
      </c>
      <c r="BY22" s="399"/>
      <c r="BZ22" s="399"/>
      <c r="CA22" s="524"/>
      <c r="CB22" s="525"/>
      <c r="CC22" s="525"/>
      <c r="CD22" s="525"/>
      <c r="CE22" s="525"/>
      <c r="CF22" s="525"/>
      <c r="CG22" s="525"/>
      <c r="CH22" s="525"/>
      <c r="CI22" s="525"/>
      <c r="CJ22" s="525"/>
      <c r="CK22" s="526"/>
    </row>
    <row r="23" spans="1:106" s="87" customFormat="1" ht="25.65" customHeight="1">
      <c r="A23" s="398">
        <v>20</v>
      </c>
      <c r="B23" s="399"/>
      <c r="C23" s="404"/>
      <c r="D23" s="404"/>
      <c r="E23" s="404"/>
      <c r="F23" s="404"/>
      <c r="G23" s="404"/>
      <c r="H23" s="404"/>
      <c r="I23" s="415"/>
      <c r="J23" s="415"/>
      <c r="K23" s="415"/>
      <c r="L23" s="415"/>
      <c r="M23" s="415"/>
      <c r="N23" s="415"/>
      <c r="O23" s="415"/>
      <c r="P23" s="415"/>
      <c r="Q23" s="415"/>
      <c r="R23" s="415"/>
      <c r="S23" s="415"/>
      <c r="T23" s="415"/>
      <c r="U23" s="415"/>
      <c r="V23" s="415"/>
      <c r="W23" s="415"/>
      <c r="X23" s="404"/>
      <c r="Y23" s="404"/>
      <c r="Z23" s="404"/>
      <c r="AA23" s="404"/>
      <c r="AB23" s="404"/>
      <c r="AC23" s="404"/>
      <c r="AD23" s="404"/>
      <c r="AE23" s="404"/>
      <c r="AF23" s="404"/>
      <c r="AG23" s="404"/>
      <c r="AH23" s="404"/>
      <c r="AI23" s="404"/>
      <c r="AJ23" s="404"/>
      <c r="AK23" s="404"/>
      <c r="AL23" s="404"/>
      <c r="AM23" s="404"/>
      <c r="AN23" s="404"/>
      <c r="AO23" s="404"/>
      <c r="AP23" s="404"/>
      <c r="AQ23" s="404"/>
      <c r="AR23" s="404"/>
      <c r="AS23" s="404"/>
      <c r="AT23" s="404"/>
      <c r="AU23" s="404"/>
      <c r="AV23" s="404"/>
      <c r="AW23" s="404"/>
      <c r="AX23" s="404"/>
      <c r="AY23" s="404"/>
      <c r="AZ23" s="404"/>
      <c r="BA23" s="404"/>
      <c r="BB23" s="404"/>
      <c r="BC23" s="404"/>
      <c r="BD23" s="404"/>
      <c r="BE23" s="404"/>
      <c r="BF23" s="404"/>
      <c r="BG23" s="404"/>
      <c r="BH23" s="404"/>
      <c r="BI23" s="404"/>
      <c r="BJ23" s="404"/>
      <c r="BK23" s="404"/>
      <c r="BL23" s="404"/>
      <c r="BM23" s="404"/>
      <c r="BN23" s="404"/>
      <c r="BO23" s="404"/>
      <c r="BP23" s="404"/>
      <c r="BQ23" s="404"/>
      <c r="BR23" s="404"/>
      <c r="BS23" s="404"/>
      <c r="BT23" s="402"/>
      <c r="BU23" s="402"/>
      <c r="BV23" s="403"/>
      <c r="BW23" s="403"/>
      <c r="BX23" s="429"/>
      <c r="BY23" s="481"/>
      <c r="BZ23" s="430"/>
      <c r="CA23" s="524"/>
      <c r="CB23" s="525"/>
      <c r="CC23" s="525"/>
      <c r="CD23" s="525"/>
      <c r="CE23" s="525"/>
      <c r="CF23" s="525"/>
      <c r="CG23" s="525"/>
      <c r="CH23" s="525"/>
      <c r="CI23" s="525"/>
      <c r="CJ23" s="525"/>
      <c r="CK23" s="526"/>
    </row>
    <row r="24" spans="1:106" s="75" customFormat="1" ht="25.65" customHeight="1">
      <c r="A24" s="398">
        <v>21</v>
      </c>
      <c r="B24" s="399"/>
      <c r="C24" s="404"/>
      <c r="D24" s="404"/>
      <c r="E24" s="404"/>
      <c r="F24" s="404"/>
      <c r="G24" s="404"/>
      <c r="H24" s="404"/>
      <c r="I24" s="415"/>
      <c r="J24" s="415"/>
      <c r="K24" s="415"/>
      <c r="L24" s="415"/>
      <c r="M24" s="415"/>
      <c r="N24" s="415"/>
      <c r="O24" s="415"/>
      <c r="P24" s="415"/>
      <c r="Q24" s="415"/>
      <c r="R24" s="415"/>
      <c r="S24" s="415"/>
      <c r="T24" s="415"/>
      <c r="U24" s="415"/>
      <c r="V24" s="415"/>
      <c r="W24" s="415"/>
      <c r="X24" s="404"/>
      <c r="Y24" s="404"/>
      <c r="Z24" s="404"/>
      <c r="AA24" s="404"/>
      <c r="AB24" s="404"/>
      <c r="AC24" s="404"/>
      <c r="AD24" s="404"/>
      <c r="AE24" s="404"/>
      <c r="AF24" s="404"/>
      <c r="AG24" s="404"/>
      <c r="AH24" s="404"/>
      <c r="AI24" s="404"/>
      <c r="AJ24" s="404"/>
      <c r="AK24" s="404"/>
      <c r="AL24" s="404"/>
      <c r="AM24" s="404"/>
      <c r="AN24" s="404"/>
      <c r="AO24" s="404"/>
      <c r="AP24" s="404"/>
      <c r="AQ24" s="404"/>
      <c r="AR24" s="404"/>
      <c r="AS24" s="404"/>
      <c r="AT24" s="404"/>
      <c r="AU24" s="404"/>
      <c r="AV24" s="404"/>
      <c r="AW24" s="404"/>
      <c r="AX24" s="404"/>
      <c r="AY24" s="404"/>
      <c r="AZ24" s="404"/>
      <c r="BA24" s="404"/>
      <c r="BB24" s="404"/>
      <c r="BC24" s="404"/>
      <c r="BD24" s="404"/>
      <c r="BE24" s="404"/>
      <c r="BF24" s="404"/>
      <c r="BG24" s="404"/>
      <c r="BH24" s="404"/>
      <c r="BI24" s="404"/>
      <c r="BJ24" s="404"/>
      <c r="BK24" s="404"/>
      <c r="BL24" s="404"/>
      <c r="BM24" s="404"/>
      <c r="BN24" s="404"/>
      <c r="BO24" s="404"/>
      <c r="BP24" s="404"/>
      <c r="BQ24" s="404"/>
      <c r="BR24" s="404"/>
      <c r="BS24" s="404"/>
      <c r="BT24" s="402"/>
      <c r="BU24" s="402"/>
      <c r="BV24" s="403"/>
      <c r="BW24" s="403"/>
      <c r="BX24" s="404"/>
      <c r="BY24" s="404"/>
      <c r="BZ24" s="404"/>
      <c r="CA24" s="524"/>
      <c r="CB24" s="525"/>
      <c r="CC24" s="525"/>
      <c r="CD24" s="525"/>
      <c r="CE24" s="525"/>
      <c r="CF24" s="525"/>
      <c r="CG24" s="525"/>
      <c r="CH24" s="525"/>
      <c r="CI24" s="525"/>
      <c r="CJ24" s="525"/>
      <c r="CK24" s="526"/>
      <c r="CL24" s="87"/>
      <c r="CM24" s="87"/>
      <c r="CN24" s="87"/>
      <c r="CO24" s="87"/>
      <c r="CP24" s="87"/>
      <c r="CQ24" s="87"/>
      <c r="CR24" s="87"/>
      <c r="CS24" s="87"/>
      <c r="CT24" s="87"/>
      <c r="CU24" s="87"/>
    </row>
    <row r="25" spans="1:106" s="75" customFormat="1" ht="25.65" customHeight="1">
      <c r="A25" s="398">
        <v>22</v>
      </c>
      <c r="B25" s="399"/>
      <c r="C25" s="404"/>
      <c r="D25" s="404"/>
      <c r="E25" s="404"/>
      <c r="F25" s="404"/>
      <c r="G25" s="404"/>
      <c r="H25" s="404"/>
      <c r="I25" s="415"/>
      <c r="J25" s="415"/>
      <c r="K25" s="415"/>
      <c r="L25" s="415"/>
      <c r="M25" s="415"/>
      <c r="N25" s="415"/>
      <c r="O25" s="415"/>
      <c r="P25" s="415"/>
      <c r="Q25" s="415"/>
      <c r="R25" s="415"/>
      <c r="S25" s="415"/>
      <c r="T25" s="415"/>
      <c r="U25" s="415"/>
      <c r="V25" s="415"/>
      <c r="W25" s="415"/>
      <c r="X25" s="404"/>
      <c r="Y25" s="404"/>
      <c r="Z25" s="404"/>
      <c r="AA25" s="416"/>
      <c r="AB25" s="416"/>
      <c r="AC25" s="416"/>
      <c r="AD25" s="416"/>
      <c r="AE25" s="416"/>
      <c r="AF25" s="416"/>
      <c r="AG25" s="416"/>
      <c r="AH25" s="416"/>
      <c r="AI25" s="416"/>
      <c r="AJ25" s="416"/>
      <c r="AK25" s="416"/>
      <c r="AL25" s="416"/>
      <c r="AM25" s="416"/>
      <c r="AN25" s="416"/>
      <c r="AO25" s="416"/>
      <c r="AP25" s="416"/>
      <c r="AQ25" s="416"/>
      <c r="AR25" s="416"/>
      <c r="AS25" s="416"/>
      <c r="AT25" s="416"/>
      <c r="AU25" s="416"/>
      <c r="AV25" s="416"/>
      <c r="AW25" s="404"/>
      <c r="AX25" s="404"/>
      <c r="AY25" s="404"/>
      <c r="AZ25" s="404"/>
      <c r="BA25" s="404"/>
      <c r="BB25" s="404"/>
      <c r="BC25" s="404"/>
      <c r="BD25" s="404"/>
      <c r="BE25" s="404"/>
      <c r="BF25" s="404"/>
      <c r="BG25" s="404"/>
      <c r="BH25" s="404"/>
      <c r="BI25" s="404"/>
      <c r="BJ25" s="404"/>
      <c r="BK25" s="404"/>
      <c r="BL25" s="404"/>
      <c r="BM25" s="404"/>
      <c r="BN25" s="404"/>
      <c r="BO25" s="404"/>
      <c r="BP25" s="404"/>
      <c r="BQ25" s="404"/>
      <c r="BR25" s="404"/>
      <c r="BS25" s="404"/>
      <c r="BT25" s="402"/>
      <c r="BU25" s="402"/>
      <c r="BV25" s="403"/>
      <c r="BW25" s="403"/>
      <c r="BX25" s="404"/>
      <c r="BY25" s="404"/>
      <c r="BZ25" s="404"/>
      <c r="CA25" s="524"/>
      <c r="CB25" s="525"/>
      <c r="CC25" s="525"/>
      <c r="CD25" s="525"/>
      <c r="CE25" s="525"/>
      <c r="CF25" s="525"/>
      <c r="CG25" s="525"/>
      <c r="CH25" s="525"/>
      <c r="CI25" s="525"/>
      <c r="CJ25" s="525"/>
      <c r="CK25" s="526"/>
      <c r="CL25" s="87"/>
      <c r="CM25" s="87"/>
      <c r="CN25" s="87"/>
      <c r="CO25" s="87"/>
      <c r="CP25" s="87"/>
      <c r="CQ25" s="87"/>
      <c r="CR25" s="87"/>
      <c r="CS25" s="87"/>
      <c r="CT25" s="87"/>
      <c r="CU25" s="87"/>
    </row>
    <row r="26" spans="1:106" s="75" customFormat="1" ht="25.65" customHeight="1">
      <c r="A26" s="398">
        <v>24</v>
      </c>
      <c r="B26" s="399"/>
      <c r="C26" s="404"/>
      <c r="D26" s="404"/>
      <c r="E26" s="404"/>
      <c r="F26" s="404"/>
      <c r="G26" s="404"/>
      <c r="H26" s="404"/>
      <c r="I26" s="415"/>
      <c r="J26" s="415"/>
      <c r="K26" s="415"/>
      <c r="L26" s="415"/>
      <c r="M26" s="415"/>
      <c r="N26" s="415"/>
      <c r="O26" s="415"/>
      <c r="P26" s="415"/>
      <c r="Q26" s="415"/>
      <c r="R26" s="415"/>
      <c r="S26" s="415"/>
      <c r="T26" s="415"/>
      <c r="U26" s="415"/>
      <c r="V26" s="415"/>
      <c r="W26" s="415"/>
      <c r="X26" s="404"/>
      <c r="Y26" s="404"/>
      <c r="Z26" s="404"/>
      <c r="AA26" s="416"/>
      <c r="AB26" s="416"/>
      <c r="AC26" s="416"/>
      <c r="AD26" s="416"/>
      <c r="AE26" s="416"/>
      <c r="AF26" s="416"/>
      <c r="AG26" s="416"/>
      <c r="AH26" s="416"/>
      <c r="AI26" s="416"/>
      <c r="AJ26" s="416"/>
      <c r="AK26" s="416"/>
      <c r="AL26" s="416"/>
      <c r="AM26" s="416"/>
      <c r="AN26" s="416"/>
      <c r="AO26" s="416"/>
      <c r="AP26" s="416"/>
      <c r="AQ26" s="416"/>
      <c r="AR26" s="416"/>
      <c r="AS26" s="416"/>
      <c r="AT26" s="416"/>
      <c r="AU26" s="416"/>
      <c r="AV26" s="416"/>
      <c r="AW26" s="404"/>
      <c r="AX26" s="404"/>
      <c r="AY26" s="404"/>
      <c r="AZ26" s="404"/>
      <c r="BA26" s="404"/>
      <c r="BB26" s="404"/>
      <c r="BC26" s="404"/>
      <c r="BD26" s="404"/>
      <c r="BE26" s="404"/>
      <c r="BF26" s="404"/>
      <c r="BG26" s="404"/>
      <c r="BH26" s="404"/>
      <c r="BI26" s="404"/>
      <c r="BJ26" s="404"/>
      <c r="BK26" s="404"/>
      <c r="BL26" s="404"/>
      <c r="BM26" s="404"/>
      <c r="BN26" s="404"/>
      <c r="BO26" s="404"/>
      <c r="BP26" s="404"/>
      <c r="BQ26" s="404"/>
      <c r="BR26" s="404"/>
      <c r="BS26" s="404"/>
      <c r="BT26" s="402"/>
      <c r="BU26" s="402"/>
      <c r="BV26" s="403"/>
      <c r="BW26" s="403"/>
      <c r="BX26" s="404"/>
      <c r="BY26" s="404"/>
      <c r="BZ26" s="404"/>
      <c r="CA26" s="524"/>
      <c r="CB26" s="525"/>
      <c r="CC26" s="525"/>
      <c r="CD26" s="525"/>
      <c r="CE26" s="525"/>
      <c r="CF26" s="525"/>
      <c r="CG26" s="525"/>
      <c r="CH26" s="525"/>
      <c r="CI26" s="525"/>
      <c r="CJ26" s="525"/>
      <c r="CK26" s="526"/>
      <c r="CL26" s="87"/>
      <c r="CM26" s="87"/>
      <c r="CN26" s="87"/>
      <c r="CO26" s="87"/>
      <c r="CP26" s="87"/>
      <c r="CQ26" s="87"/>
      <c r="CR26" s="87"/>
      <c r="CS26" s="87"/>
      <c r="CT26" s="87"/>
      <c r="CU26" s="87"/>
    </row>
    <row r="27" spans="1:106" s="75" customFormat="1" ht="25.65" customHeight="1">
      <c r="A27" s="398">
        <v>25</v>
      </c>
      <c r="B27" s="399"/>
      <c r="C27" s="404"/>
      <c r="D27" s="404"/>
      <c r="E27" s="404"/>
      <c r="F27" s="404"/>
      <c r="G27" s="404"/>
      <c r="H27" s="404"/>
      <c r="I27" s="415"/>
      <c r="J27" s="415"/>
      <c r="K27" s="415"/>
      <c r="L27" s="415"/>
      <c r="M27" s="415"/>
      <c r="N27" s="415"/>
      <c r="O27" s="415"/>
      <c r="P27" s="415"/>
      <c r="Q27" s="415"/>
      <c r="R27" s="415"/>
      <c r="S27" s="415"/>
      <c r="T27" s="415"/>
      <c r="U27" s="415"/>
      <c r="V27" s="415"/>
      <c r="W27" s="415"/>
      <c r="X27" s="404"/>
      <c r="Y27" s="404"/>
      <c r="Z27" s="404"/>
      <c r="AA27" s="416"/>
      <c r="AB27" s="416"/>
      <c r="AC27" s="416"/>
      <c r="AD27" s="416"/>
      <c r="AE27" s="416"/>
      <c r="AF27" s="416"/>
      <c r="AG27" s="416"/>
      <c r="AH27" s="416"/>
      <c r="AI27" s="416"/>
      <c r="AJ27" s="416"/>
      <c r="AK27" s="416"/>
      <c r="AL27" s="416"/>
      <c r="AM27" s="416"/>
      <c r="AN27" s="416"/>
      <c r="AO27" s="416"/>
      <c r="AP27" s="416"/>
      <c r="AQ27" s="416"/>
      <c r="AR27" s="416"/>
      <c r="AS27" s="416"/>
      <c r="AT27" s="416"/>
      <c r="AU27" s="416"/>
      <c r="AV27" s="416"/>
      <c r="AW27" s="404"/>
      <c r="AX27" s="404"/>
      <c r="AY27" s="404"/>
      <c r="AZ27" s="404"/>
      <c r="BA27" s="404"/>
      <c r="BB27" s="404"/>
      <c r="BC27" s="404"/>
      <c r="BD27" s="404"/>
      <c r="BE27" s="404"/>
      <c r="BF27" s="404"/>
      <c r="BG27" s="404"/>
      <c r="BH27" s="404"/>
      <c r="BI27" s="404"/>
      <c r="BJ27" s="404"/>
      <c r="BK27" s="404"/>
      <c r="BL27" s="404"/>
      <c r="BM27" s="404"/>
      <c r="BN27" s="404"/>
      <c r="BO27" s="404"/>
      <c r="BP27" s="404"/>
      <c r="BQ27" s="404"/>
      <c r="BR27" s="404"/>
      <c r="BS27" s="404"/>
      <c r="BT27" s="402"/>
      <c r="BU27" s="402"/>
      <c r="BV27" s="403"/>
      <c r="BW27" s="403"/>
      <c r="BX27" s="404"/>
      <c r="BY27" s="404"/>
      <c r="BZ27" s="404"/>
      <c r="CA27" s="524"/>
      <c r="CB27" s="525"/>
      <c r="CC27" s="525"/>
      <c r="CD27" s="525"/>
      <c r="CE27" s="525"/>
      <c r="CF27" s="525"/>
      <c r="CG27" s="525"/>
      <c r="CH27" s="525"/>
      <c r="CI27" s="525"/>
      <c r="CJ27" s="525"/>
      <c r="CK27" s="526"/>
      <c r="CL27" s="87"/>
      <c r="CM27" s="87"/>
      <c r="CN27" s="87"/>
      <c r="CO27" s="87"/>
      <c r="CP27" s="87"/>
      <c r="CQ27" s="87"/>
      <c r="CR27" s="87"/>
      <c r="CS27" s="87"/>
      <c r="CT27" s="87"/>
      <c r="CU27" s="87"/>
    </row>
    <row r="28" spans="1:106" s="75" customFormat="1" ht="25.65" customHeight="1">
      <c r="A28" s="398">
        <v>26</v>
      </c>
      <c r="B28" s="399"/>
      <c r="C28" s="404"/>
      <c r="D28" s="404"/>
      <c r="E28" s="404"/>
      <c r="F28" s="404"/>
      <c r="G28" s="404"/>
      <c r="H28" s="404"/>
      <c r="I28" s="415"/>
      <c r="J28" s="415"/>
      <c r="K28" s="415"/>
      <c r="L28" s="415"/>
      <c r="M28" s="415"/>
      <c r="N28" s="415"/>
      <c r="O28" s="415"/>
      <c r="P28" s="415"/>
      <c r="Q28" s="415"/>
      <c r="R28" s="415"/>
      <c r="S28" s="415"/>
      <c r="T28" s="415"/>
      <c r="U28" s="415"/>
      <c r="V28" s="415"/>
      <c r="W28" s="415"/>
      <c r="X28" s="404"/>
      <c r="Y28" s="404"/>
      <c r="Z28" s="404"/>
      <c r="AA28" s="416"/>
      <c r="AB28" s="416"/>
      <c r="AC28" s="416"/>
      <c r="AD28" s="416"/>
      <c r="AE28" s="416"/>
      <c r="AF28" s="416"/>
      <c r="AG28" s="416"/>
      <c r="AH28" s="416"/>
      <c r="AI28" s="416"/>
      <c r="AJ28" s="416"/>
      <c r="AK28" s="416"/>
      <c r="AL28" s="416"/>
      <c r="AM28" s="416"/>
      <c r="AN28" s="416"/>
      <c r="AO28" s="416"/>
      <c r="AP28" s="416"/>
      <c r="AQ28" s="416"/>
      <c r="AR28" s="416"/>
      <c r="AS28" s="416"/>
      <c r="AT28" s="416"/>
      <c r="AU28" s="416"/>
      <c r="AV28" s="416"/>
      <c r="AW28" s="404"/>
      <c r="AX28" s="404"/>
      <c r="AY28" s="404"/>
      <c r="AZ28" s="404"/>
      <c r="BA28" s="404"/>
      <c r="BB28" s="404"/>
      <c r="BC28" s="404"/>
      <c r="BD28" s="404"/>
      <c r="BE28" s="404"/>
      <c r="BF28" s="404"/>
      <c r="BG28" s="404"/>
      <c r="BH28" s="404"/>
      <c r="BI28" s="404"/>
      <c r="BJ28" s="404"/>
      <c r="BK28" s="404"/>
      <c r="BL28" s="404"/>
      <c r="BM28" s="404"/>
      <c r="BN28" s="404"/>
      <c r="BO28" s="404"/>
      <c r="BP28" s="404"/>
      <c r="BQ28" s="404"/>
      <c r="BR28" s="404"/>
      <c r="BS28" s="404"/>
      <c r="BT28" s="402"/>
      <c r="BU28" s="402"/>
      <c r="BV28" s="403"/>
      <c r="BW28" s="403"/>
      <c r="BX28" s="404"/>
      <c r="BY28" s="404"/>
      <c r="BZ28" s="404"/>
      <c r="CA28" s="524"/>
      <c r="CB28" s="525"/>
      <c r="CC28" s="525"/>
      <c r="CD28" s="525"/>
      <c r="CE28" s="525"/>
      <c r="CF28" s="525"/>
      <c r="CG28" s="525"/>
      <c r="CH28" s="525"/>
      <c r="CI28" s="525"/>
      <c r="CJ28" s="525"/>
      <c r="CK28" s="526"/>
      <c r="CL28" s="87"/>
      <c r="CM28" s="87"/>
      <c r="CN28" s="87"/>
      <c r="CO28" s="87"/>
      <c r="CP28" s="87"/>
      <c r="CQ28" s="87"/>
      <c r="CR28" s="87"/>
      <c r="CS28" s="87"/>
      <c r="CT28" s="87"/>
      <c r="CU28" s="87"/>
    </row>
    <row r="29" spans="1:106" s="75" customFormat="1" ht="12.75" customHeight="1">
      <c r="A29" s="482"/>
      <c r="B29" s="407"/>
      <c r="C29" s="405"/>
      <c r="D29" s="406"/>
      <c r="E29" s="406"/>
      <c r="F29" s="406"/>
      <c r="G29" s="406"/>
      <c r="H29" s="407"/>
      <c r="I29" s="483"/>
      <c r="J29" s="484"/>
      <c r="K29" s="484"/>
      <c r="L29" s="485"/>
      <c r="M29" s="483"/>
      <c r="N29" s="484"/>
      <c r="O29" s="484"/>
      <c r="P29" s="485"/>
      <c r="Q29" s="483"/>
      <c r="R29" s="484"/>
      <c r="S29" s="484"/>
      <c r="T29" s="485"/>
      <c r="U29" s="483"/>
      <c r="V29" s="484"/>
      <c r="W29" s="485"/>
      <c r="X29" s="405"/>
      <c r="Y29" s="406"/>
      <c r="Z29" s="407"/>
      <c r="AA29" s="412"/>
      <c r="AB29" s="413"/>
      <c r="AC29" s="413"/>
      <c r="AD29" s="413"/>
      <c r="AE29" s="413"/>
      <c r="AF29" s="413"/>
      <c r="AG29" s="413"/>
      <c r="AH29" s="413"/>
      <c r="AI29" s="413"/>
      <c r="AJ29" s="413"/>
      <c r="AK29" s="414"/>
      <c r="AL29" s="412"/>
      <c r="AM29" s="413"/>
      <c r="AN29" s="413"/>
      <c r="AO29" s="413"/>
      <c r="AP29" s="413"/>
      <c r="AQ29" s="413"/>
      <c r="AR29" s="413"/>
      <c r="AS29" s="413"/>
      <c r="AT29" s="413"/>
      <c r="AU29" s="413"/>
      <c r="AV29" s="414"/>
      <c r="AW29" s="405"/>
      <c r="AX29" s="406"/>
      <c r="AY29" s="407"/>
      <c r="AZ29" s="405"/>
      <c r="BA29" s="407"/>
      <c r="BB29" s="405"/>
      <c r="BC29" s="407"/>
      <c r="BD29" s="405"/>
      <c r="BE29" s="407"/>
      <c r="BF29" s="405"/>
      <c r="BG29" s="407"/>
      <c r="BH29" s="405"/>
      <c r="BI29" s="407"/>
      <c r="BJ29" s="405"/>
      <c r="BK29" s="407"/>
      <c r="BL29" s="405"/>
      <c r="BM29" s="406"/>
      <c r="BN29" s="406"/>
      <c r="BO29" s="407"/>
      <c r="BP29" s="405"/>
      <c r="BQ29" s="406"/>
      <c r="BR29" s="406"/>
      <c r="BS29" s="407"/>
      <c r="BT29" s="408"/>
      <c r="BU29" s="409"/>
      <c r="BV29" s="410"/>
      <c r="BW29" s="411"/>
      <c r="BX29" s="405"/>
      <c r="BY29" s="406"/>
      <c r="BZ29" s="407"/>
      <c r="CA29" s="524"/>
      <c r="CB29" s="525"/>
      <c r="CC29" s="525"/>
      <c r="CD29" s="525"/>
      <c r="CE29" s="525"/>
      <c r="CF29" s="525"/>
      <c r="CG29" s="525"/>
      <c r="CH29" s="525"/>
      <c r="CI29" s="525"/>
      <c r="CJ29" s="525"/>
      <c r="CK29" s="526"/>
      <c r="CL29" s="87"/>
      <c r="CM29" s="87"/>
      <c r="CN29" s="87"/>
      <c r="CO29" s="87"/>
      <c r="CP29" s="87"/>
      <c r="CQ29" s="87"/>
      <c r="CR29" s="87"/>
      <c r="CS29" s="87"/>
      <c r="CT29" s="87"/>
      <c r="CU29" s="87"/>
      <c r="CV29" s="87"/>
      <c r="CW29" s="87"/>
      <c r="CX29" s="87"/>
      <c r="CY29" s="87"/>
      <c r="CZ29" s="109"/>
      <c r="DA29" s="109"/>
      <c r="DB29" s="110"/>
    </row>
    <row r="30" spans="1:106" s="118" customFormat="1" ht="12.75" customHeight="1">
      <c r="A30" s="112" t="s">
        <v>238</v>
      </c>
      <c r="B30" s="113"/>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114"/>
      <c r="CE30" s="114"/>
      <c r="CF30" s="114"/>
      <c r="CG30" s="114"/>
      <c r="CH30" s="114"/>
      <c r="CI30" s="114"/>
      <c r="CJ30" s="114"/>
      <c r="CK30" s="115"/>
      <c r="CL30" s="116"/>
      <c r="CM30" s="116"/>
      <c r="CN30" s="116"/>
      <c r="CO30" s="116"/>
      <c r="CP30" s="116"/>
      <c r="CQ30" s="116"/>
      <c r="CR30" s="116"/>
      <c r="CS30" s="116"/>
      <c r="CT30" s="116"/>
      <c r="CU30" s="116"/>
      <c r="CV30" s="116"/>
      <c r="CW30" s="116"/>
      <c r="CX30" s="116"/>
      <c r="CY30" s="116"/>
      <c r="CZ30" s="117"/>
      <c r="DA30" s="117"/>
      <c r="DB30" s="151"/>
    </row>
    <row r="31" spans="1:106" s="118" customFormat="1" ht="12.75" customHeight="1">
      <c r="A31" s="400" t="s">
        <v>239</v>
      </c>
      <c r="B31" s="313"/>
      <c r="C31" s="313"/>
      <c r="D31" s="313"/>
      <c r="E31" s="313"/>
      <c r="F31" s="313"/>
      <c r="G31" s="313"/>
      <c r="H31" s="313"/>
      <c r="I31" s="313"/>
      <c r="J31" s="313"/>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3"/>
      <c r="AJ31" s="313"/>
      <c r="AK31" s="313"/>
      <c r="AL31" s="313"/>
      <c r="AM31" s="313"/>
      <c r="AN31" s="313"/>
      <c r="AO31" s="313"/>
      <c r="AP31" s="313"/>
      <c r="AQ31" s="313"/>
      <c r="AR31" s="313"/>
      <c r="AS31" s="313"/>
      <c r="AT31" s="313"/>
      <c r="AU31" s="313"/>
      <c r="AV31" s="313"/>
      <c r="AW31" s="313"/>
      <c r="AX31" s="313"/>
      <c r="AY31" s="313"/>
      <c r="AZ31" s="313"/>
      <c r="BA31" s="313"/>
      <c r="BB31" s="313"/>
      <c r="BC31" s="313"/>
      <c r="BD31" s="313"/>
      <c r="BE31" s="313"/>
      <c r="BF31" s="313"/>
      <c r="BG31" s="313"/>
      <c r="BH31" s="313"/>
      <c r="BI31" s="313"/>
      <c r="BJ31" s="313"/>
      <c r="BK31" s="313"/>
      <c r="BL31" s="313"/>
      <c r="BM31" s="313"/>
      <c r="BN31" s="313"/>
      <c r="BO31" s="313"/>
      <c r="BP31" s="313"/>
      <c r="BQ31" s="313"/>
      <c r="BR31" s="313"/>
      <c r="BS31" s="313"/>
      <c r="BT31" s="313"/>
      <c r="BU31" s="313"/>
      <c r="BV31" s="313"/>
      <c r="BW31" s="313"/>
      <c r="BX31" s="313"/>
      <c r="BY31" s="313"/>
      <c r="BZ31" s="313"/>
      <c r="CA31" s="313"/>
      <c r="CB31" s="313"/>
      <c r="CC31" s="313"/>
      <c r="CD31" s="313"/>
      <c r="CE31" s="313"/>
      <c r="CF31" s="313"/>
      <c r="CG31" s="313"/>
      <c r="CH31" s="313"/>
      <c r="CI31" s="313"/>
      <c r="CJ31" s="313"/>
      <c r="CK31" s="401"/>
      <c r="CL31" s="116"/>
      <c r="CM31" s="116"/>
      <c r="CN31" s="116"/>
      <c r="CO31" s="116"/>
      <c r="CP31" s="116"/>
      <c r="CQ31" s="116"/>
      <c r="CR31" s="116"/>
      <c r="CS31" s="116"/>
      <c r="CT31" s="116"/>
      <c r="CU31" s="116"/>
      <c r="CV31" s="116"/>
      <c r="CW31" s="116"/>
      <c r="CX31" s="116"/>
      <c r="CY31" s="116"/>
      <c r="CZ31" s="117"/>
      <c r="DA31" s="117"/>
      <c r="DB31" s="151"/>
    </row>
    <row r="32" spans="1:106" s="118" customFormat="1" ht="12.75" customHeight="1">
      <c r="A32" s="400"/>
      <c r="B32" s="313"/>
      <c r="C32" s="313"/>
      <c r="D32" s="313"/>
      <c r="E32" s="313"/>
      <c r="F32" s="313"/>
      <c r="G32" s="313"/>
      <c r="H32" s="313"/>
      <c r="I32" s="313"/>
      <c r="J32" s="313"/>
      <c r="K32" s="313"/>
      <c r="L32" s="313"/>
      <c r="M32" s="313"/>
      <c r="N32" s="313"/>
      <c r="O32" s="313"/>
      <c r="P32" s="313"/>
      <c r="Q32" s="313"/>
      <c r="R32" s="313"/>
      <c r="S32" s="313"/>
      <c r="T32" s="313"/>
      <c r="U32" s="313"/>
      <c r="V32" s="313"/>
      <c r="W32" s="313"/>
      <c r="X32" s="313"/>
      <c r="Y32" s="313"/>
      <c r="Z32" s="313"/>
      <c r="AA32" s="313"/>
      <c r="AB32" s="313"/>
      <c r="AC32" s="313"/>
      <c r="AD32" s="313"/>
      <c r="AE32" s="313"/>
      <c r="AF32" s="313"/>
      <c r="AG32" s="313"/>
      <c r="AH32" s="313"/>
      <c r="AI32" s="313"/>
      <c r="AJ32" s="313"/>
      <c r="AK32" s="313"/>
      <c r="AL32" s="313"/>
      <c r="AM32" s="313"/>
      <c r="AN32" s="313"/>
      <c r="AO32" s="313"/>
      <c r="AP32" s="313"/>
      <c r="AQ32" s="313"/>
      <c r="AR32" s="313"/>
      <c r="AS32" s="313"/>
      <c r="AT32" s="313"/>
      <c r="AU32" s="313"/>
      <c r="AV32" s="313"/>
      <c r="AW32" s="313"/>
      <c r="AX32" s="313"/>
      <c r="AY32" s="313"/>
      <c r="AZ32" s="313"/>
      <c r="BA32" s="313"/>
      <c r="BB32" s="313"/>
      <c r="BC32" s="313"/>
      <c r="BD32" s="313"/>
      <c r="BE32" s="313"/>
      <c r="BF32" s="313"/>
      <c r="BG32" s="313"/>
      <c r="BH32" s="313"/>
      <c r="BI32" s="313"/>
      <c r="BJ32" s="313"/>
      <c r="BK32" s="313"/>
      <c r="BL32" s="313"/>
      <c r="BM32" s="313"/>
      <c r="BN32" s="313"/>
      <c r="BO32" s="313"/>
      <c r="BP32" s="313"/>
      <c r="BQ32" s="313"/>
      <c r="BR32" s="313"/>
      <c r="BS32" s="313"/>
      <c r="BT32" s="313"/>
      <c r="BU32" s="313"/>
      <c r="BV32" s="313"/>
      <c r="BW32" s="313"/>
      <c r="BX32" s="313"/>
      <c r="BY32" s="313"/>
      <c r="BZ32" s="313"/>
      <c r="CA32" s="313"/>
      <c r="CB32" s="313"/>
      <c r="CC32" s="313"/>
      <c r="CD32" s="313"/>
      <c r="CE32" s="313"/>
      <c r="CF32" s="313"/>
      <c r="CG32" s="313"/>
      <c r="CH32" s="313"/>
      <c r="CI32" s="313"/>
      <c r="CJ32" s="313"/>
      <c r="CK32" s="401"/>
      <c r="CL32" s="116"/>
      <c r="CM32" s="116"/>
      <c r="CN32" s="116"/>
      <c r="CO32" s="116"/>
      <c r="CP32" s="116"/>
      <c r="CQ32" s="116"/>
      <c r="CR32" s="116"/>
      <c r="CS32" s="116"/>
      <c r="CT32" s="116"/>
      <c r="CU32" s="116"/>
      <c r="CV32" s="116"/>
      <c r="CW32" s="116"/>
      <c r="CX32" s="116"/>
      <c r="CY32" s="116"/>
      <c r="CZ32" s="117"/>
      <c r="DA32" s="117"/>
      <c r="DB32" s="151"/>
    </row>
    <row r="33" spans="1:106" s="118" customFormat="1" ht="12.75" customHeight="1">
      <c r="A33" s="400"/>
      <c r="B33" s="313"/>
      <c r="C33" s="313"/>
      <c r="D33" s="313"/>
      <c r="E33" s="313"/>
      <c r="F33" s="313"/>
      <c r="G33" s="313"/>
      <c r="H33" s="313"/>
      <c r="I33" s="313"/>
      <c r="J33" s="313"/>
      <c r="K33" s="313"/>
      <c r="L33" s="313"/>
      <c r="M33" s="313"/>
      <c r="N33" s="313"/>
      <c r="O33" s="313"/>
      <c r="P33" s="313"/>
      <c r="Q33" s="313"/>
      <c r="R33" s="313"/>
      <c r="S33" s="313"/>
      <c r="T33" s="313"/>
      <c r="U33" s="313"/>
      <c r="V33" s="313"/>
      <c r="W33" s="313"/>
      <c r="X33" s="313"/>
      <c r="Y33" s="313"/>
      <c r="Z33" s="313"/>
      <c r="AA33" s="313"/>
      <c r="AB33" s="313"/>
      <c r="AC33" s="313"/>
      <c r="AD33" s="313"/>
      <c r="AE33" s="313"/>
      <c r="AF33" s="313"/>
      <c r="AG33" s="313"/>
      <c r="AH33" s="313"/>
      <c r="AI33" s="313"/>
      <c r="AJ33" s="313"/>
      <c r="AK33" s="313"/>
      <c r="AL33" s="313"/>
      <c r="AM33" s="313"/>
      <c r="AN33" s="313"/>
      <c r="AO33" s="313"/>
      <c r="AP33" s="313"/>
      <c r="AQ33" s="313"/>
      <c r="AR33" s="313"/>
      <c r="AS33" s="313"/>
      <c r="AT33" s="313"/>
      <c r="AU33" s="313"/>
      <c r="AV33" s="313"/>
      <c r="AW33" s="313"/>
      <c r="AX33" s="313"/>
      <c r="AY33" s="313"/>
      <c r="AZ33" s="313"/>
      <c r="BA33" s="313"/>
      <c r="BB33" s="313"/>
      <c r="BC33" s="313"/>
      <c r="BD33" s="313"/>
      <c r="BE33" s="313"/>
      <c r="BF33" s="313"/>
      <c r="BG33" s="313"/>
      <c r="BH33" s="313"/>
      <c r="BI33" s="313"/>
      <c r="BJ33" s="313"/>
      <c r="BK33" s="313"/>
      <c r="BL33" s="313"/>
      <c r="BM33" s="313"/>
      <c r="BN33" s="313"/>
      <c r="BO33" s="313"/>
      <c r="BP33" s="313"/>
      <c r="BQ33" s="313"/>
      <c r="BR33" s="313"/>
      <c r="BS33" s="313"/>
      <c r="BT33" s="313"/>
      <c r="BU33" s="313"/>
      <c r="BV33" s="313"/>
      <c r="BW33" s="313"/>
      <c r="BX33" s="313"/>
      <c r="BY33" s="313"/>
      <c r="BZ33" s="313"/>
      <c r="CA33" s="313"/>
      <c r="CB33" s="313"/>
      <c r="CC33" s="313"/>
      <c r="CD33" s="313"/>
      <c r="CE33" s="313"/>
      <c r="CF33" s="313"/>
      <c r="CG33" s="313"/>
      <c r="CH33" s="313"/>
      <c r="CI33" s="313"/>
      <c r="CJ33" s="313"/>
      <c r="CK33" s="401"/>
      <c r="CL33" s="87"/>
      <c r="CM33" s="87"/>
      <c r="CN33" s="116"/>
      <c r="CO33" s="116"/>
      <c r="CP33" s="116"/>
      <c r="CQ33" s="116"/>
      <c r="CR33" s="116"/>
      <c r="CS33" s="116"/>
      <c r="CT33" s="116"/>
      <c r="CU33" s="116"/>
      <c r="CV33" s="116"/>
      <c r="CW33" s="116"/>
      <c r="CX33" s="116"/>
      <c r="CY33" s="116"/>
      <c r="CZ33" s="117"/>
      <c r="DA33" s="117"/>
      <c r="DB33" s="151"/>
    </row>
    <row r="34" spans="1:106" s="75" customFormat="1" ht="12.75" customHeight="1">
      <c r="A34" s="119"/>
      <c r="B34" s="120"/>
      <c r="C34" s="121" t="s">
        <v>213</v>
      </c>
      <c r="D34" s="122"/>
      <c r="E34" s="123"/>
      <c r="F34" s="123"/>
      <c r="G34" s="123"/>
      <c r="H34" s="123"/>
      <c r="I34" s="123"/>
      <c r="J34" s="123"/>
      <c r="K34" s="123"/>
      <c r="L34" s="489"/>
      <c r="M34" s="489"/>
      <c r="N34" s="489"/>
      <c r="O34" s="489"/>
      <c r="P34" s="489"/>
      <c r="Q34" s="489"/>
      <c r="R34" s="489"/>
      <c r="S34" s="489"/>
      <c r="T34" s="488"/>
      <c r="U34" s="488"/>
      <c r="V34" s="488"/>
      <c r="W34" s="488"/>
      <c r="X34" s="488"/>
      <c r="Y34" s="488"/>
      <c r="Z34" s="488"/>
      <c r="AA34" s="488"/>
      <c r="AB34" s="488"/>
      <c r="AC34" s="488"/>
      <c r="AD34" s="488"/>
      <c r="AE34" s="488"/>
      <c r="AF34" s="488"/>
      <c r="AG34" s="150"/>
      <c r="AH34" s="150"/>
      <c r="AI34" s="150"/>
      <c r="AJ34" s="488"/>
      <c r="AK34" s="488"/>
      <c r="AL34" s="488"/>
      <c r="AM34" s="488"/>
      <c r="AN34" s="488"/>
      <c r="AO34" s="488"/>
      <c r="AP34" s="488"/>
      <c r="AQ34" s="488"/>
      <c r="AR34" s="150"/>
      <c r="AS34" s="488"/>
      <c r="AT34" s="488"/>
      <c r="AU34" s="488"/>
      <c r="AV34" s="488"/>
      <c r="AW34" s="488"/>
      <c r="AX34" s="488"/>
      <c r="AY34" s="488"/>
      <c r="AZ34" s="488"/>
      <c r="BA34" s="488"/>
      <c r="BB34" s="488"/>
      <c r="BC34" s="120"/>
      <c r="BD34" s="150"/>
      <c r="BE34" s="488"/>
      <c r="BF34" s="488"/>
      <c r="BG34" s="488"/>
      <c r="BH34" s="488"/>
      <c r="BI34" s="488"/>
      <c r="BJ34" s="488"/>
      <c r="BK34" s="488"/>
      <c r="BL34" s="488"/>
      <c r="BM34" s="488"/>
      <c r="BN34" s="488"/>
      <c r="BO34" s="120"/>
      <c r="BP34" s="488"/>
      <c r="BQ34" s="488"/>
      <c r="BR34" s="150"/>
      <c r="BS34" s="150"/>
      <c r="BT34" s="150"/>
      <c r="BU34" s="150"/>
      <c r="BV34" s="150"/>
      <c r="BW34" s="150"/>
      <c r="BX34" s="150"/>
      <c r="BY34" s="488"/>
      <c r="BZ34" s="488"/>
      <c r="CA34" s="488"/>
      <c r="CB34" s="489"/>
      <c r="CC34" s="489"/>
      <c r="CD34" s="489"/>
      <c r="CE34" s="489"/>
      <c r="CF34" s="489"/>
      <c r="CG34" s="489"/>
      <c r="CH34" s="489"/>
      <c r="CI34" s="120"/>
      <c r="CJ34" s="120"/>
      <c r="CK34" s="124"/>
      <c r="CL34" s="87"/>
      <c r="CM34" s="87"/>
      <c r="CN34" s="87"/>
      <c r="CO34" s="87"/>
      <c r="CP34" s="87"/>
      <c r="CQ34" s="87"/>
      <c r="CR34" s="87"/>
      <c r="CS34" s="87"/>
      <c r="CT34" s="87"/>
      <c r="CU34" s="87"/>
      <c r="CV34" s="87"/>
      <c r="CW34" s="87"/>
      <c r="CX34" s="87"/>
      <c r="CY34" s="87"/>
      <c r="CZ34" s="109"/>
      <c r="DA34" s="109"/>
      <c r="DB34" s="110"/>
    </row>
    <row r="35" spans="1:106" s="75" customFormat="1" ht="10.199999999999999">
      <c r="A35" s="125"/>
      <c r="B35" s="87"/>
      <c r="C35" s="126" t="s">
        <v>124</v>
      </c>
      <c r="D35" s="127"/>
      <c r="E35" s="87"/>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128"/>
      <c r="CL35" s="87"/>
      <c r="CM35" s="87"/>
      <c r="CN35" s="87"/>
      <c r="CO35" s="87"/>
      <c r="CP35" s="87"/>
      <c r="CQ35" s="87"/>
      <c r="CR35" s="87"/>
      <c r="CS35" s="87"/>
      <c r="CT35" s="87"/>
      <c r="CU35" s="87"/>
      <c r="CV35" s="87"/>
      <c r="CW35" s="87"/>
      <c r="CX35" s="87"/>
      <c r="CY35" s="87"/>
      <c r="CZ35" s="109"/>
      <c r="DA35" s="109"/>
      <c r="DB35" s="110"/>
    </row>
    <row r="36" spans="1:106" s="75" customFormat="1" ht="10.199999999999999">
      <c r="A36" s="129"/>
      <c r="B36" s="130"/>
      <c r="C36" s="131" t="s">
        <v>125</v>
      </c>
      <c r="D36" s="132"/>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130"/>
      <c r="CC36" s="130"/>
      <c r="CD36" s="130"/>
      <c r="CE36" s="130"/>
      <c r="CF36" s="130"/>
      <c r="CG36" s="130"/>
      <c r="CH36" s="130"/>
      <c r="CI36" s="130"/>
      <c r="CJ36" s="130"/>
      <c r="CK36" s="133"/>
      <c r="CL36" s="87"/>
      <c r="CM36" s="87"/>
      <c r="CN36" s="87"/>
      <c r="CO36" s="87"/>
      <c r="CP36" s="87"/>
      <c r="CQ36" s="87"/>
      <c r="CR36" s="87"/>
      <c r="CS36" s="87"/>
      <c r="CT36" s="87"/>
      <c r="CU36" s="87"/>
      <c r="CV36" s="87"/>
      <c r="CW36" s="87"/>
      <c r="CX36" s="87"/>
      <c r="CY36" s="87"/>
      <c r="CZ36" s="109"/>
      <c r="DA36" s="109"/>
      <c r="DB36" s="110"/>
    </row>
    <row r="37" spans="1:106" s="75" customFormat="1" ht="15" customHeight="1">
      <c r="A37" s="3"/>
      <c r="B37" s="1"/>
      <c r="C37" s="1"/>
      <c r="D37" s="1"/>
      <c r="E37" s="1"/>
      <c r="F37" s="1"/>
      <c r="G37" s="1"/>
      <c r="H37" s="1"/>
      <c r="I37" s="1"/>
      <c r="J37" s="1"/>
      <c r="K37" s="1"/>
      <c r="L37" s="1"/>
      <c r="M37" s="1"/>
      <c r="N37" s="1"/>
      <c r="O37" s="9"/>
      <c r="P37" s="9"/>
      <c r="Q37" s="9"/>
      <c r="R37" s="9"/>
      <c r="S37" s="10"/>
      <c r="T37" s="102"/>
      <c r="U37" s="325" t="s">
        <v>126</v>
      </c>
      <c r="V37" s="325"/>
      <c r="W37" s="325"/>
      <c r="X37" s="325"/>
      <c r="Y37" s="325"/>
      <c r="Z37" s="9"/>
      <c r="AA37" s="9"/>
      <c r="AB37" s="9"/>
      <c r="AC37" s="9"/>
      <c r="AD37" s="9"/>
      <c r="AE37" s="9"/>
      <c r="AF37" s="9"/>
      <c r="AG37" s="9"/>
      <c r="AH37" s="9"/>
      <c r="AI37" s="9"/>
      <c r="AJ37" s="9"/>
      <c r="AK37" s="10"/>
      <c r="AL37" s="486" t="s">
        <v>127</v>
      </c>
      <c r="AM37" s="487"/>
      <c r="AN37" s="486" t="s">
        <v>27</v>
      </c>
      <c r="AO37" s="306"/>
      <c r="AP37" s="306"/>
      <c r="AQ37" s="487"/>
      <c r="AR37" s="486" t="s">
        <v>128</v>
      </c>
      <c r="AS37" s="306"/>
      <c r="AT37" s="487"/>
      <c r="AU37" s="486" t="s">
        <v>129</v>
      </c>
      <c r="AV37" s="306"/>
      <c r="AW37" s="306"/>
      <c r="AX37" s="306"/>
      <c r="AY37" s="306"/>
      <c r="AZ37" s="306"/>
      <c r="BA37" s="306"/>
      <c r="BB37" s="306"/>
      <c r="BC37" s="306"/>
      <c r="BD37" s="306"/>
      <c r="BE37" s="487"/>
      <c r="BF37" s="486" t="s">
        <v>130</v>
      </c>
      <c r="BG37" s="306"/>
      <c r="BH37" s="487"/>
      <c r="BI37" s="486" t="s">
        <v>131</v>
      </c>
      <c r="BJ37" s="306"/>
      <c r="BK37" s="487"/>
      <c r="BL37" s="321" t="s">
        <v>132</v>
      </c>
      <c r="BM37" s="322"/>
      <c r="BN37" s="322"/>
      <c r="BO37" s="322"/>
      <c r="BP37" s="322"/>
      <c r="BQ37" s="9"/>
      <c r="BR37" s="9"/>
      <c r="BS37" s="9"/>
      <c r="BT37" s="9"/>
      <c r="BU37" s="9"/>
      <c r="BV37" s="9"/>
      <c r="BW37" s="9"/>
      <c r="BX37" s="9"/>
      <c r="BY37" s="9"/>
      <c r="BZ37" s="9"/>
      <c r="CA37" s="10"/>
      <c r="CB37" s="494" t="s">
        <v>128</v>
      </c>
      <c r="CC37" s="495"/>
      <c r="CD37" s="495"/>
      <c r="CE37" s="496"/>
      <c r="CF37" s="497" t="e">
        <f>$AR38</f>
        <v>#REF!</v>
      </c>
      <c r="CG37" s="498"/>
      <c r="CH37" s="529"/>
      <c r="CI37" s="497"/>
      <c r="CJ37" s="498"/>
      <c r="CK37" s="499"/>
      <c r="CL37"/>
      <c r="CM37"/>
      <c r="CN37" s="87"/>
      <c r="CO37" s="87"/>
      <c r="CP37" s="87"/>
      <c r="CQ37" s="87"/>
      <c r="CR37" s="87"/>
      <c r="CS37" s="87"/>
      <c r="CT37" s="87"/>
      <c r="CU37" s="87"/>
      <c r="CV37" s="87"/>
      <c r="CW37" s="87"/>
      <c r="CX37" s="87"/>
      <c r="CY37" s="87"/>
      <c r="CZ37" s="109"/>
      <c r="DA37" s="109"/>
      <c r="DB37" s="110"/>
    </row>
    <row r="38" spans="1:106" s="76" customFormat="1" ht="12.75" customHeight="1">
      <c r="A38" s="4"/>
      <c r="B38" s="2"/>
      <c r="C38" s="2"/>
      <c r="D38" s="2"/>
      <c r="E38" s="2"/>
      <c r="F38" s="2"/>
      <c r="G38" s="2"/>
      <c r="H38" s="2"/>
      <c r="I38" s="2"/>
      <c r="J38" s="2"/>
      <c r="K38" s="2"/>
      <c r="L38" s="2"/>
      <c r="M38" s="2"/>
      <c r="N38" s="2"/>
      <c r="O38" s="12"/>
      <c r="P38" s="12"/>
      <c r="Q38" s="12"/>
      <c r="R38" s="12"/>
      <c r="S38" s="13"/>
      <c r="T38" s="11"/>
      <c r="U38" s="326"/>
      <c r="V38" s="326"/>
      <c r="W38" s="326"/>
      <c r="X38" s="326"/>
      <c r="Y38" s="326"/>
      <c r="Z38" s="100"/>
      <c r="AA38" s="12"/>
      <c r="AB38" s="12"/>
      <c r="AC38" s="12"/>
      <c r="AD38" s="12"/>
      <c r="AE38" s="12"/>
      <c r="AF38" s="12"/>
      <c r="AG38" s="12"/>
      <c r="AH38" s="12"/>
      <c r="AI38" s="12"/>
      <c r="AJ38" s="12"/>
      <c r="AK38" s="13"/>
      <c r="AL38" s="486" t="e">
        <f>#REF!</f>
        <v>#REF!</v>
      </c>
      <c r="AM38" s="487"/>
      <c r="AN38" s="490" t="e">
        <f>#REF!</f>
        <v>#REF!</v>
      </c>
      <c r="AO38" s="491"/>
      <c r="AP38" s="491"/>
      <c r="AQ38" s="492"/>
      <c r="AR38" s="486" t="e">
        <f>#REF!</f>
        <v>#REF!</v>
      </c>
      <c r="AS38" s="306"/>
      <c r="AT38" s="487"/>
      <c r="AU38" s="486" t="e">
        <f>#REF!</f>
        <v>#REF!</v>
      </c>
      <c r="AV38" s="306"/>
      <c r="AW38" s="306"/>
      <c r="AX38" s="306"/>
      <c r="AY38" s="306"/>
      <c r="AZ38" s="306"/>
      <c r="BA38" s="306"/>
      <c r="BB38" s="306"/>
      <c r="BC38" s="306"/>
      <c r="BD38" s="306"/>
      <c r="BE38" s="487"/>
      <c r="BF38" s="486" t="e">
        <f>#REF!</f>
        <v>#REF!</v>
      </c>
      <c r="BG38" s="306"/>
      <c r="BH38" s="487"/>
      <c r="BI38" s="486" t="e">
        <f>#REF!</f>
        <v>#REF!</v>
      </c>
      <c r="BJ38" s="306"/>
      <c r="BK38" s="487"/>
      <c r="BL38" s="323"/>
      <c r="BM38" s="324"/>
      <c r="BN38" s="324"/>
      <c r="BO38" s="324"/>
      <c r="BP38" s="324"/>
      <c r="BQ38" s="12"/>
      <c r="BR38" s="12"/>
      <c r="BS38" s="12"/>
      <c r="BT38" s="12"/>
      <c r="BU38" s="12"/>
      <c r="BV38" s="12"/>
      <c r="BW38" s="12"/>
      <c r="BX38" s="12"/>
      <c r="BY38" s="12"/>
      <c r="BZ38" s="12"/>
      <c r="CA38" s="13"/>
      <c r="CB38" s="494" t="s">
        <v>130</v>
      </c>
      <c r="CC38" s="495"/>
      <c r="CD38" s="495"/>
      <c r="CE38" s="496"/>
      <c r="CF38" s="486" t="e">
        <f>$BF38</f>
        <v>#REF!</v>
      </c>
      <c r="CG38" s="306"/>
      <c r="CH38" s="487"/>
      <c r="CI38" s="497"/>
      <c r="CJ38" s="498"/>
      <c r="CK38" s="499"/>
      <c r="CL38"/>
      <c r="CM38"/>
      <c r="CN38"/>
      <c r="CO38"/>
      <c r="CP38"/>
      <c r="CQ38"/>
      <c r="CR38"/>
      <c r="CS38"/>
      <c r="CT38"/>
      <c r="CU38"/>
      <c r="CV38"/>
      <c r="CW38" s="87"/>
      <c r="CX38" s="87"/>
      <c r="CY38" s="87"/>
      <c r="CZ38" s="109"/>
      <c r="DA38" s="109"/>
      <c r="DB38" s="106"/>
    </row>
    <row r="39" spans="1:106" s="76" customFormat="1" ht="12.75" customHeight="1">
      <c r="A39" s="4"/>
      <c r="B39" s="2"/>
      <c r="C39" s="2"/>
      <c r="D39" s="2"/>
      <c r="E39" s="2"/>
      <c r="F39" s="2"/>
      <c r="G39" s="2"/>
      <c r="H39" s="2"/>
      <c r="I39" s="2"/>
      <c r="J39" s="2"/>
      <c r="K39" s="2"/>
      <c r="L39" s="2"/>
      <c r="M39" s="2"/>
      <c r="N39" s="2"/>
      <c r="O39" s="12"/>
      <c r="P39" s="12"/>
      <c r="Q39" s="12"/>
      <c r="R39" s="12"/>
      <c r="S39" s="13"/>
      <c r="T39" s="11"/>
      <c r="U39" s="12"/>
      <c r="V39" s="12"/>
      <c r="W39" s="103"/>
      <c r="X39" s="12"/>
      <c r="Y39" s="12"/>
      <c r="Z39" s="103"/>
      <c r="AA39" s="12"/>
      <c r="AB39" s="12"/>
      <c r="AC39" s="12"/>
      <c r="AD39" s="12"/>
      <c r="AE39" s="12"/>
      <c r="AF39" s="12"/>
      <c r="AG39" s="12"/>
      <c r="AH39" s="12"/>
      <c r="AI39" s="12"/>
      <c r="AJ39" s="12"/>
      <c r="AK39" s="13"/>
      <c r="AL39" s="486"/>
      <c r="AM39" s="487"/>
      <c r="AN39" s="490"/>
      <c r="AO39" s="491"/>
      <c r="AP39" s="491"/>
      <c r="AQ39" s="492"/>
      <c r="AR39" s="486"/>
      <c r="AS39" s="306"/>
      <c r="AT39" s="487"/>
      <c r="AU39" s="486"/>
      <c r="AV39" s="306"/>
      <c r="AW39" s="306"/>
      <c r="AX39" s="306"/>
      <c r="AY39" s="306"/>
      <c r="AZ39" s="306"/>
      <c r="BA39" s="306"/>
      <c r="BB39" s="306"/>
      <c r="BC39" s="306"/>
      <c r="BD39" s="306"/>
      <c r="BE39" s="487"/>
      <c r="BF39" s="486"/>
      <c r="BG39" s="306"/>
      <c r="BH39" s="487"/>
      <c r="BI39" s="486"/>
      <c r="BJ39" s="306"/>
      <c r="BK39" s="487"/>
      <c r="BL39" s="94"/>
      <c r="BM39" s="104"/>
      <c r="BN39" s="153" t="s">
        <v>4</v>
      </c>
      <c r="BO39" s="12"/>
      <c r="BP39" s="12"/>
      <c r="BQ39" s="12"/>
      <c r="BR39" s="12"/>
      <c r="BS39" s="12"/>
      <c r="BT39" s="12"/>
      <c r="BU39" s="12"/>
      <c r="BV39" s="12"/>
      <c r="BW39" s="12"/>
      <c r="BX39" s="12"/>
      <c r="BY39" s="12"/>
      <c r="BZ39" s="12"/>
      <c r="CA39" s="13"/>
      <c r="CB39" s="494" t="s">
        <v>131</v>
      </c>
      <c r="CC39" s="495"/>
      <c r="CD39" s="495"/>
      <c r="CE39" s="496"/>
      <c r="CF39" s="486" t="e">
        <f>$BI38</f>
        <v>#REF!</v>
      </c>
      <c r="CG39" s="306"/>
      <c r="CH39" s="487"/>
      <c r="CI39" s="497"/>
      <c r="CJ39" s="498"/>
      <c r="CK39" s="499"/>
      <c r="CL39"/>
      <c r="CM39"/>
      <c r="CN39"/>
      <c r="CO39"/>
      <c r="CP39"/>
      <c r="CQ39"/>
      <c r="CR39"/>
      <c r="CS39"/>
      <c r="CT39"/>
      <c r="CU39"/>
      <c r="CV39"/>
      <c r="CW39" s="87"/>
      <c r="CX39" s="87"/>
      <c r="CY39" s="87"/>
      <c r="CZ39" s="109"/>
      <c r="DA39" s="109"/>
      <c r="DB39" s="106"/>
    </row>
    <row r="40" spans="1:106" s="76" customFormat="1" ht="12.75" customHeight="1">
      <c r="A40" s="4"/>
      <c r="B40" s="2"/>
      <c r="C40" s="2"/>
      <c r="D40" s="2"/>
      <c r="E40" s="2"/>
      <c r="F40" s="103"/>
      <c r="G40" s="103"/>
      <c r="H40" s="98" t="s">
        <v>209</v>
      </c>
      <c r="I40" s="79"/>
      <c r="J40" s="12"/>
      <c r="K40" s="88"/>
      <c r="L40" s="88"/>
      <c r="M40" s="88"/>
      <c r="N40" s="88"/>
      <c r="O40" s="88"/>
      <c r="P40" s="88"/>
      <c r="Q40" s="88"/>
      <c r="R40" s="12"/>
      <c r="S40" s="13"/>
      <c r="T40" s="11"/>
      <c r="U40" s="12"/>
      <c r="V40" s="12"/>
      <c r="W40" s="103"/>
      <c r="X40" s="12"/>
      <c r="Y40" s="12"/>
      <c r="Z40" s="103"/>
      <c r="AA40" s="101" t="s">
        <v>243</v>
      </c>
      <c r="AB40" s="103"/>
      <c r="AC40" s="101"/>
      <c r="AD40" s="101"/>
      <c r="AE40" s="101"/>
      <c r="AF40" s="101"/>
      <c r="AG40" s="101"/>
      <c r="AH40" s="101"/>
      <c r="AI40" s="101"/>
      <c r="AJ40" s="101"/>
      <c r="AK40" s="13"/>
      <c r="AL40" s="486"/>
      <c r="AM40" s="487"/>
      <c r="AN40" s="490"/>
      <c r="AO40" s="491"/>
      <c r="AP40" s="491"/>
      <c r="AQ40" s="492"/>
      <c r="AR40" s="486"/>
      <c r="AS40" s="306"/>
      <c r="AT40" s="487"/>
      <c r="AU40" s="486"/>
      <c r="AV40" s="306"/>
      <c r="AW40" s="306"/>
      <c r="AX40" s="306"/>
      <c r="AY40" s="306"/>
      <c r="AZ40" s="306"/>
      <c r="BA40" s="306"/>
      <c r="BB40" s="306"/>
      <c r="BC40" s="306"/>
      <c r="BD40" s="306"/>
      <c r="BE40" s="487"/>
      <c r="BF40" s="486"/>
      <c r="BG40" s="306"/>
      <c r="BH40" s="487"/>
      <c r="BI40" s="486"/>
      <c r="BJ40" s="306"/>
      <c r="BK40" s="487"/>
      <c r="BL40" s="94"/>
      <c r="BM40" s="104"/>
      <c r="BO40" s="12"/>
      <c r="BP40" s="12"/>
      <c r="BQ40" s="12"/>
      <c r="BR40" s="12"/>
      <c r="BS40" s="12"/>
      <c r="BT40" s="12"/>
      <c r="BU40" s="12"/>
      <c r="BV40" s="12"/>
      <c r="BW40" s="12"/>
      <c r="BX40" s="12"/>
      <c r="BY40" s="12"/>
      <c r="BZ40" s="12"/>
      <c r="CA40" s="13"/>
      <c r="CB40" s="134"/>
      <c r="CC40" s="152" t="s">
        <v>242</v>
      </c>
      <c r="CD40" s="152"/>
      <c r="CE40" s="152"/>
      <c r="CF40" s="152"/>
      <c r="CG40" s="152"/>
      <c r="CH40" s="152"/>
      <c r="CI40" s="134"/>
      <c r="CJ40" s="134"/>
      <c r="CK40" s="135"/>
      <c r="CL40"/>
      <c r="CM40"/>
      <c r="CN40"/>
      <c r="CO40"/>
      <c r="CP40"/>
      <c r="CQ40"/>
      <c r="CR40"/>
      <c r="CS40"/>
      <c r="CT40"/>
      <c r="CU40"/>
      <c r="CV40"/>
      <c r="CW40" s="87"/>
      <c r="CX40" s="87"/>
      <c r="CY40" s="87"/>
      <c r="CZ40" s="109"/>
      <c r="DA40" s="109"/>
      <c r="DB40" s="106"/>
    </row>
    <row r="41" spans="1:106" s="76" customFormat="1" ht="12.75" customHeight="1">
      <c r="A41" s="4"/>
      <c r="B41" s="2"/>
      <c r="C41" s="2"/>
      <c r="D41" s="2"/>
      <c r="E41" s="2"/>
      <c r="F41" s="103"/>
      <c r="G41" s="103"/>
      <c r="H41" s="99" t="s">
        <v>210</v>
      </c>
      <c r="I41" s="88"/>
      <c r="J41" s="12"/>
      <c r="K41" s="88"/>
      <c r="L41" s="88"/>
      <c r="M41" s="88"/>
      <c r="N41" s="88"/>
      <c r="O41" s="88"/>
      <c r="P41" s="88"/>
      <c r="Q41" s="88"/>
      <c r="R41" s="12"/>
      <c r="S41" s="13"/>
      <c r="T41" s="11"/>
      <c r="U41" s="12"/>
      <c r="V41" s="12"/>
      <c r="W41" s="103"/>
      <c r="X41" s="12"/>
      <c r="Y41" s="12"/>
      <c r="Z41" s="103"/>
      <c r="AA41" s="88" t="s">
        <v>244</v>
      </c>
      <c r="AB41" s="103"/>
      <c r="AC41" s="88"/>
      <c r="AD41" s="88"/>
      <c r="AE41" s="88"/>
      <c r="AF41" s="88"/>
      <c r="AG41" s="88"/>
      <c r="AH41" s="88"/>
      <c r="AI41" s="88"/>
      <c r="AJ41" s="88"/>
      <c r="AK41" s="13"/>
      <c r="AL41" s="486"/>
      <c r="AM41" s="487"/>
      <c r="AN41" s="486"/>
      <c r="AO41" s="306"/>
      <c r="AP41" s="306"/>
      <c r="AQ41" s="487"/>
      <c r="AR41" s="486"/>
      <c r="AS41" s="306"/>
      <c r="AT41" s="487"/>
      <c r="AU41" s="309"/>
      <c r="AV41" s="305"/>
      <c r="AW41" s="305"/>
      <c r="AX41" s="305"/>
      <c r="AY41" s="305"/>
      <c r="AZ41" s="305"/>
      <c r="BA41" s="305"/>
      <c r="BB41" s="305"/>
      <c r="BC41" s="305"/>
      <c r="BD41" s="305"/>
      <c r="BE41" s="493"/>
      <c r="BF41" s="486"/>
      <c r="BG41" s="306"/>
      <c r="BH41" s="487"/>
      <c r="BI41" s="486"/>
      <c r="BJ41" s="306"/>
      <c r="BK41" s="487"/>
      <c r="BL41" s="67"/>
      <c r="BM41" s="68"/>
      <c r="BN41" s="68"/>
      <c r="BO41" s="68"/>
      <c r="BP41" s="68"/>
      <c r="BQ41" s="68"/>
      <c r="BR41" s="68"/>
      <c r="BS41" s="68"/>
      <c r="BT41" s="68"/>
      <c r="BU41" s="68"/>
      <c r="BV41" s="68"/>
      <c r="BW41" s="68"/>
      <c r="BX41" s="68"/>
      <c r="BY41" s="68"/>
      <c r="BZ41" s="68"/>
      <c r="CA41" s="69"/>
      <c r="CB41" s="134"/>
      <c r="CC41" s="134"/>
      <c r="CD41" s="134"/>
      <c r="CE41" s="134"/>
      <c r="CF41" s="134"/>
      <c r="CG41" s="134"/>
      <c r="CH41" s="134"/>
      <c r="CI41" s="134"/>
      <c r="CJ41" s="134"/>
      <c r="CK41" s="135"/>
      <c r="CL41"/>
      <c r="CM41"/>
      <c r="CN41"/>
      <c r="CO41"/>
      <c r="CP41"/>
      <c r="CQ41"/>
      <c r="CR41"/>
      <c r="CS41"/>
      <c r="CT41"/>
      <c r="CU41"/>
      <c r="CV41"/>
      <c r="CW41" s="87"/>
      <c r="CX41" s="87"/>
      <c r="CY41" s="87"/>
      <c r="CZ41" s="109"/>
      <c r="DA41" s="109"/>
      <c r="DB41" s="106"/>
    </row>
    <row r="42" spans="1:106" s="76" customFormat="1" ht="12.75" customHeight="1">
      <c r="A42" s="4"/>
      <c r="B42" s="2"/>
      <c r="C42" s="2"/>
      <c r="D42" s="2"/>
      <c r="E42" s="2"/>
      <c r="F42" s="103"/>
      <c r="G42" s="103"/>
      <c r="H42" s="99" t="s">
        <v>211</v>
      </c>
      <c r="I42" s="88"/>
      <c r="J42" s="12"/>
      <c r="K42" s="79"/>
      <c r="L42" s="79"/>
      <c r="M42" s="79"/>
      <c r="N42" s="79"/>
      <c r="O42" s="79"/>
      <c r="P42" s="79"/>
      <c r="Q42" s="79"/>
      <c r="R42" s="12"/>
      <c r="S42" s="13"/>
      <c r="T42" s="11"/>
      <c r="U42" s="12"/>
      <c r="V42" s="12"/>
      <c r="W42" s="12"/>
      <c r="X42" s="12"/>
      <c r="Y42" s="12"/>
      <c r="Z42" s="103"/>
      <c r="AA42" s="88" t="s">
        <v>141</v>
      </c>
      <c r="AB42" s="103"/>
      <c r="AC42" s="79"/>
      <c r="AD42" s="79"/>
      <c r="AE42" s="79"/>
      <c r="AF42" s="79"/>
      <c r="AG42" s="79"/>
      <c r="AH42" s="79"/>
      <c r="AI42" s="79"/>
      <c r="AJ42" s="12"/>
      <c r="AK42" s="13"/>
      <c r="AL42" s="486"/>
      <c r="AM42" s="487"/>
      <c r="AN42" s="486"/>
      <c r="AO42" s="306"/>
      <c r="AP42" s="306"/>
      <c r="AQ42" s="487"/>
      <c r="AR42" s="486"/>
      <c r="AS42" s="306"/>
      <c r="AT42" s="487"/>
      <c r="AU42" s="309"/>
      <c r="AV42" s="305"/>
      <c r="AW42" s="305"/>
      <c r="AX42" s="305"/>
      <c r="AY42" s="305"/>
      <c r="AZ42" s="305"/>
      <c r="BA42" s="305"/>
      <c r="BB42" s="305"/>
      <c r="BC42" s="305"/>
      <c r="BD42" s="305"/>
      <c r="BE42" s="493"/>
      <c r="BF42" s="486"/>
      <c r="BG42" s="306"/>
      <c r="BH42" s="487"/>
      <c r="BI42" s="486"/>
      <c r="BJ42" s="306"/>
      <c r="BK42" s="487"/>
      <c r="BL42" s="95" t="s">
        <v>26</v>
      </c>
      <c r="BM42" s="96"/>
      <c r="BN42" s="96"/>
      <c r="BO42" s="96"/>
      <c r="BP42" s="96"/>
      <c r="BQ42" s="96"/>
      <c r="BR42" s="96"/>
      <c r="BS42" s="96"/>
      <c r="BT42" s="96"/>
      <c r="BU42" s="96"/>
      <c r="BV42" s="96"/>
      <c r="BW42" s="96"/>
      <c r="BX42" s="96"/>
      <c r="BY42" s="96"/>
      <c r="BZ42" s="96"/>
      <c r="CA42" s="97"/>
      <c r="CB42" s="506" t="s">
        <v>133</v>
      </c>
      <c r="CC42" s="507"/>
      <c r="CD42" s="507"/>
      <c r="CE42" s="508"/>
      <c r="CF42" s="506" t="s">
        <v>134</v>
      </c>
      <c r="CG42" s="507"/>
      <c r="CH42" s="508"/>
      <c r="CI42" s="506" t="s">
        <v>127</v>
      </c>
      <c r="CJ42" s="507"/>
      <c r="CK42" s="509"/>
      <c r="CL42"/>
      <c r="CM42"/>
      <c r="CN42"/>
      <c r="CO42"/>
      <c r="CP42"/>
      <c r="CQ42"/>
      <c r="CR42"/>
      <c r="CS42"/>
      <c r="CT42"/>
      <c r="CU42"/>
      <c r="CV42"/>
      <c r="CW42"/>
      <c r="CX42"/>
      <c r="CY42"/>
      <c r="CZ42" s="106"/>
      <c r="DA42" s="106"/>
      <c r="DB42" s="106"/>
    </row>
    <row r="43" spans="1:106" s="76" customFormat="1" ht="12.75" customHeight="1">
      <c r="A43" s="4"/>
      <c r="B43" s="2"/>
      <c r="C43" s="2"/>
      <c r="D43" s="2"/>
      <c r="E43" s="2"/>
      <c r="F43" s="103"/>
      <c r="G43" s="103"/>
      <c r="H43" s="99" t="s">
        <v>212</v>
      </c>
      <c r="I43" s="88"/>
      <c r="J43" s="12"/>
      <c r="K43" s="79"/>
      <c r="L43" s="79"/>
      <c r="M43" s="79"/>
      <c r="N43" s="79"/>
      <c r="O43" s="79"/>
      <c r="P43" s="79"/>
      <c r="Q43" s="79"/>
      <c r="R43" s="12"/>
      <c r="S43" s="13"/>
      <c r="T43" s="11"/>
      <c r="U43" s="12"/>
      <c r="V43" s="12"/>
      <c r="W43" s="12"/>
      <c r="X43" s="12"/>
      <c r="Y43" s="12"/>
      <c r="Z43" s="2"/>
      <c r="AA43" s="2"/>
      <c r="AB43" s="2"/>
      <c r="AC43" s="2"/>
      <c r="AD43" s="2"/>
      <c r="AE43" s="2"/>
      <c r="AF43" s="2"/>
      <c r="AG43" s="2"/>
      <c r="AH43" s="2"/>
      <c r="AI43" s="2"/>
      <c r="AJ43" s="2"/>
      <c r="AK43" s="13"/>
      <c r="AL43" s="486"/>
      <c r="AM43" s="487"/>
      <c r="AN43" s="486"/>
      <c r="AO43" s="306"/>
      <c r="AP43" s="306"/>
      <c r="AQ43" s="487"/>
      <c r="AR43" s="486"/>
      <c r="AS43" s="306"/>
      <c r="AT43" s="487"/>
      <c r="AU43" s="309"/>
      <c r="AV43" s="305"/>
      <c r="AW43" s="305"/>
      <c r="AX43" s="305"/>
      <c r="AY43" s="305"/>
      <c r="AZ43" s="305"/>
      <c r="BA43" s="305"/>
      <c r="BB43" s="305"/>
      <c r="BC43" s="305"/>
      <c r="BD43" s="305"/>
      <c r="BE43" s="493"/>
      <c r="BF43" s="486"/>
      <c r="BG43" s="306"/>
      <c r="BH43" s="487"/>
      <c r="BI43" s="486"/>
      <c r="BJ43" s="306"/>
      <c r="BK43" s="487"/>
      <c r="BL43" s="12"/>
      <c r="BM43" s="82" t="e">
        <f>#REF!</f>
        <v>#REF!</v>
      </c>
      <c r="BN43" s="12"/>
      <c r="BO43" s="12"/>
      <c r="BP43" s="12"/>
      <c r="BQ43" s="12"/>
      <c r="BR43" s="12"/>
      <c r="BS43" s="12"/>
      <c r="BT43" s="12"/>
      <c r="BU43" s="12"/>
      <c r="BV43" s="12"/>
      <c r="BW43" s="12"/>
      <c r="BX43" s="12"/>
      <c r="BY43" s="12"/>
      <c r="BZ43" s="12"/>
      <c r="CA43" s="13"/>
      <c r="CB43" s="510" t="s">
        <v>135</v>
      </c>
      <c r="CC43" s="511"/>
      <c r="CD43" s="511"/>
      <c r="CE43" s="512"/>
      <c r="CF43" s="510" t="s">
        <v>8</v>
      </c>
      <c r="CG43" s="511"/>
      <c r="CH43" s="512"/>
      <c r="CI43" s="510" t="e">
        <f>#REF!</f>
        <v>#REF!</v>
      </c>
      <c r="CJ43" s="511"/>
      <c r="CK43" s="527"/>
      <c r="CL43"/>
      <c r="CM43"/>
      <c r="CN43"/>
      <c r="CO43"/>
      <c r="CP43"/>
      <c r="CQ43"/>
      <c r="CR43"/>
      <c r="CS43"/>
      <c r="CT43"/>
      <c r="CU43"/>
      <c r="CV43"/>
      <c r="CW43"/>
      <c r="CX43"/>
      <c r="CY43"/>
      <c r="CZ43" s="106"/>
      <c r="DA43" s="106"/>
      <c r="DB43" s="106"/>
    </row>
    <row r="44" spans="1:106" s="76" customFormat="1" ht="12.75" customHeight="1" thickBot="1">
      <c r="A44" s="5"/>
      <c r="B44" s="6"/>
      <c r="C44" s="6"/>
      <c r="D44" s="6"/>
      <c r="E44" s="6"/>
      <c r="F44" s="6"/>
      <c r="G44" s="6"/>
      <c r="H44" s="105"/>
      <c r="I44" s="105"/>
      <c r="J44" s="105"/>
      <c r="K44" s="105"/>
      <c r="L44" s="8"/>
      <c r="M44" s="6"/>
      <c r="N44" s="6"/>
      <c r="O44" s="16"/>
      <c r="P44" s="16"/>
      <c r="Q44" s="16"/>
      <c r="R44" s="16"/>
      <c r="S44" s="14"/>
      <c r="T44" s="15"/>
      <c r="U44" s="16"/>
      <c r="V44" s="16"/>
      <c r="W44" s="16"/>
      <c r="X44" s="16"/>
      <c r="Y44" s="16"/>
      <c r="Z44" s="6"/>
      <c r="AA44" s="6"/>
      <c r="AB44" s="6"/>
      <c r="AC44" s="6"/>
      <c r="AD44" s="6"/>
      <c r="AE44" s="6"/>
      <c r="AF44" s="6"/>
      <c r="AG44" s="6"/>
      <c r="AH44" s="6"/>
      <c r="AI44" s="6"/>
      <c r="AJ44" s="6"/>
      <c r="AK44" s="14"/>
      <c r="AL44" s="500"/>
      <c r="AM44" s="501"/>
      <c r="AN44" s="500"/>
      <c r="AO44" s="502"/>
      <c r="AP44" s="502"/>
      <c r="AQ44" s="501"/>
      <c r="AR44" s="500"/>
      <c r="AS44" s="502"/>
      <c r="AT44" s="501"/>
      <c r="AU44" s="503"/>
      <c r="AV44" s="504"/>
      <c r="AW44" s="504"/>
      <c r="AX44" s="504"/>
      <c r="AY44" s="504"/>
      <c r="AZ44" s="504"/>
      <c r="BA44" s="504"/>
      <c r="BB44" s="504"/>
      <c r="BC44" s="504"/>
      <c r="BD44" s="504"/>
      <c r="BE44" s="505"/>
      <c r="BF44" s="500"/>
      <c r="BG44" s="502"/>
      <c r="BH44" s="501"/>
      <c r="BI44" s="500"/>
      <c r="BJ44" s="502"/>
      <c r="BK44" s="501"/>
      <c r="BL44" s="16"/>
      <c r="BM44" s="16"/>
      <c r="BN44" s="16"/>
      <c r="BO44" s="16"/>
      <c r="BP44" s="16"/>
      <c r="BQ44" s="16"/>
      <c r="BR44" s="16"/>
      <c r="BS44" s="16"/>
      <c r="BT44" s="16"/>
      <c r="BU44" s="16"/>
      <c r="BV44" s="16"/>
      <c r="BW44" s="16"/>
      <c r="BX44" s="16"/>
      <c r="BY44" s="16"/>
      <c r="BZ44" s="16"/>
      <c r="CA44" s="14"/>
      <c r="CB44" s="513"/>
      <c r="CC44" s="514"/>
      <c r="CD44" s="514"/>
      <c r="CE44" s="515"/>
      <c r="CF44" s="513"/>
      <c r="CG44" s="514"/>
      <c r="CH44" s="515"/>
      <c r="CI44" s="513"/>
      <c r="CJ44" s="514"/>
      <c r="CK44" s="528"/>
      <c r="CL44"/>
      <c r="CM44"/>
      <c r="CN44"/>
      <c r="CO44"/>
      <c r="CP44"/>
      <c r="CQ44"/>
      <c r="CR44"/>
      <c r="CS44"/>
      <c r="CT44"/>
      <c r="CU44"/>
      <c r="CV44"/>
      <c r="CW44"/>
      <c r="CX44"/>
      <c r="CY44"/>
      <c r="CZ44" s="106"/>
      <c r="DA44" s="106"/>
      <c r="DB44" s="106"/>
    </row>
    <row r="45" spans="1:106" s="76" customFormat="1" ht="12.75" customHeight="1">
      <c r="A45"/>
      <c r="B45"/>
      <c r="C45"/>
      <c r="D45"/>
      <c r="E45"/>
      <c r="F45"/>
      <c r="G45"/>
      <c r="H45"/>
      <c r="I45" s="89"/>
      <c r="J45"/>
      <c r="K45"/>
      <c r="L45"/>
      <c r="M45"/>
      <c r="N45"/>
      <c r="O45"/>
      <c r="P45"/>
      <c r="Q45"/>
      <c r="R45"/>
      <c r="S45"/>
      <c r="T45"/>
      <c r="U45"/>
      <c r="V45"/>
      <c r="W45"/>
      <c r="X45"/>
      <c r="Y45"/>
      <c r="Z45"/>
      <c r="AA45"/>
      <c r="AB45"/>
      <c r="AC45"/>
      <c r="AD45"/>
      <c r="AE45"/>
      <c r="AF45"/>
      <c r="AG45"/>
      <c r="AH45"/>
      <c r="AI45"/>
      <c r="AJ45"/>
      <c r="AK45" s="90"/>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s="106"/>
      <c r="DA45" s="106"/>
      <c r="DB45" s="106"/>
    </row>
    <row r="46" spans="1:106" s="76" customFormat="1" ht="12.75" customHeight="1">
      <c r="A46"/>
      <c r="B46"/>
      <c r="C46"/>
      <c r="D46"/>
      <c r="E46"/>
      <c r="F46"/>
      <c r="G46"/>
      <c r="H46"/>
      <c r="I46" s="89"/>
      <c r="J46"/>
      <c r="K46"/>
      <c r="L46"/>
      <c r="M46"/>
      <c r="N46"/>
      <c r="O46"/>
      <c r="P46"/>
      <c r="Q46"/>
      <c r="R46"/>
      <c r="S46"/>
      <c r="T46"/>
      <c r="U46"/>
      <c r="V46"/>
      <c r="W46"/>
      <c r="X46"/>
      <c r="Y46"/>
      <c r="Z46"/>
      <c r="AA46"/>
      <c r="AB46"/>
      <c r="AC46"/>
      <c r="AD46"/>
      <c r="AE46"/>
      <c r="AF46"/>
      <c r="AG46"/>
      <c r="AH46"/>
      <c r="AI46"/>
      <c r="AJ46"/>
      <c r="AK46" s="90"/>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s="106"/>
      <c r="DA46" s="106"/>
      <c r="DB46" s="106"/>
    </row>
    <row r="47" spans="1:106" s="76" customFormat="1" ht="12.75" customHeight="1">
      <c r="A47"/>
      <c r="B47"/>
      <c r="C47"/>
      <c r="D47"/>
      <c r="E47"/>
      <c r="F47"/>
      <c r="G47"/>
      <c r="H47"/>
      <c r="I47" s="89"/>
      <c r="J47"/>
      <c r="K47"/>
      <c r="L47"/>
      <c r="M47"/>
      <c r="N47"/>
      <c r="O47"/>
      <c r="P47"/>
      <c r="Q47"/>
      <c r="R47"/>
      <c r="S47"/>
      <c r="T47"/>
      <c r="U47"/>
      <c r="V47"/>
      <c r="W47"/>
      <c r="X47"/>
      <c r="Y47"/>
      <c r="Z47"/>
      <c r="AA47"/>
      <c r="AB47"/>
      <c r="AC47"/>
      <c r="AD47"/>
      <c r="AE47"/>
      <c r="AF47"/>
      <c r="AG47"/>
      <c r="AH47"/>
      <c r="AI47"/>
      <c r="AJ47"/>
      <c r="AK47" s="90"/>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s="106"/>
      <c r="DA47" s="106"/>
      <c r="DB47" s="106"/>
    </row>
    <row r="48" spans="1:106" s="76" customFormat="1" ht="12.75" customHeight="1">
      <c r="A48"/>
      <c r="B48"/>
      <c r="C48"/>
      <c r="D48"/>
      <c r="E48"/>
      <c r="F48"/>
      <c r="G48"/>
      <c r="H48"/>
      <c r="I48" s="89"/>
      <c r="J48"/>
      <c r="K48"/>
      <c r="L48"/>
      <c r="M48"/>
      <c r="N48"/>
      <c r="O48"/>
      <c r="P48"/>
      <c r="Q48"/>
      <c r="R48"/>
      <c r="S48"/>
      <c r="T48"/>
      <c r="U48"/>
      <c r="V48"/>
      <c r="W48"/>
      <c r="X48"/>
      <c r="Y48"/>
      <c r="Z48"/>
      <c r="AA48"/>
      <c r="AB48"/>
      <c r="AC48"/>
      <c r="AD48"/>
      <c r="AE48"/>
      <c r="AF48"/>
      <c r="AG48"/>
      <c r="AH48"/>
      <c r="AI48"/>
      <c r="AJ48"/>
      <c r="AK48" s="90"/>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t="s">
        <v>232</v>
      </c>
      <c r="CW48" t="s">
        <v>233</v>
      </c>
      <c r="CX48"/>
      <c r="CY48"/>
      <c r="CZ48" s="106" t="s">
        <v>237</v>
      </c>
      <c r="DA48" s="106"/>
      <c r="DB48" s="106"/>
    </row>
    <row r="49" spans="1:106" s="76" customFormat="1" ht="12.75" customHeight="1">
      <c r="A49"/>
      <c r="B49"/>
      <c r="C49"/>
      <c r="D49"/>
      <c r="E49"/>
      <c r="F49"/>
      <c r="G49"/>
      <c r="H49"/>
      <c r="I49" s="89"/>
      <c r="J49"/>
      <c r="K49"/>
      <c r="L49"/>
      <c r="M49"/>
      <c r="N49"/>
      <c r="O49"/>
      <c r="P49"/>
      <c r="Q49"/>
      <c r="R49"/>
      <c r="S49"/>
      <c r="T49"/>
      <c r="U49"/>
      <c r="V49"/>
      <c r="W49"/>
      <c r="X49"/>
      <c r="Y49"/>
      <c r="Z49"/>
      <c r="AA49"/>
      <c r="AB49"/>
      <c r="AC49"/>
      <c r="AD49"/>
      <c r="AE49"/>
      <c r="AF49"/>
      <c r="AG49"/>
      <c r="AH49"/>
      <c r="AI49"/>
      <c r="AJ49"/>
      <c r="AK49" s="90"/>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W49" s="76" t="s">
        <v>234</v>
      </c>
      <c r="CX49" t="s">
        <v>235</v>
      </c>
      <c r="CY49" t="s">
        <v>236</v>
      </c>
      <c r="CZ49" s="136" t="s">
        <v>234</v>
      </c>
      <c r="DA49" s="106" t="s">
        <v>235</v>
      </c>
      <c r="DB49" s="106" t="s">
        <v>236</v>
      </c>
    </row>
    <row r="50" spans="1:106" s="76" customFormat="1" ht="12.75" customHeight="1">
      <c r="A50"/>
      <c r="B50"/>
      <c r="C50"/>
      <c r="D50"/>
      <c r="E50"/>
      <c r="F50"/>
      <c r="G50"/>
      <c r="H50"/>
      <c r="I50" s="89"/>
      <c r="J50"/>
      <c r="K50"/>
      <c r="L50"/>
      <c r="M50"/>
      <c r="N50"/>
      <c r="O50"/>
      <c r="P50"/>
      <c r="Q50"/>
      <c r="R50"/>
      <c r="S50"/>
      <c r="T50"/>
      <c r="U50"/>
      <c r="V50"/>
      <c r="W50"/>
      <c r="X50"/>
      <c r="Y50"/>
      <c r="Z50"/>
      <c r="AA50"/>
      <c r="AB50"/>
      <c r="AC50"/>
      <c r="AD50"/>
      <c r="AE50"/>
      <c r="AF50"/>
      <c r="AG50"/>
      <c r="AH50"/>
      <c r="AI50"/>
      <c r="AJ50"/>
      <c r="AK50" s="9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X50"/>
      <c r="CY50"/>
      <c r="CZ50" s="136"/>
      <c r="DA50" s="106"/>
      <c r="DB50" s="106"/>
    </row>
    <row r="51" spans="1:106" s="76" customFormat="1" ht="12.7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s="137" t="s">
        <v>142</v>
      </c>
      <c r="CW51" s="138" t="s">
        <v>143</v>
      </c>
      <c r="CX51" s="138" t="s">
        <v>214</v>
      </c>
      <c r="CY51" s="139" t="s">
        <v>144</v>
      </c>
      <c r="CZ51" s="139" t="s">
        <v>145</v>
      </c>
      <c r="DA51" s="139" t="s">
        <v>146</v>
      </c>
      <c r="DB51" s="139" t="s">
        <v>139</v>
      </c>
    </row>
    <row r="52" spans="1:106" s="76" customFormat="1" ht="12.7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s="137" t="s">
        <v>120</v>
      </c>
      <c r="CW52" s="138" t="s">
        <v>207</v>
      </c>
      <c r="CX52" s="138" t="s">
        <v>215</v>
      </c>
      <c r="CY52" s="139" t="s">
        <v>143</v>
      </c>
      <c r="CZ52" s="139" t="s">
        <v>147</v>
      </c>
      <c r="DA52" s="139" t="s">
        <v>148</v>
      </c>
      <c r="DB52" s="139" t="s">
        <v>149</v>
      </c>
    </row>
    <row r="53" spans="1:106" s="76" customFormat="1" ht="12.75" customHeight="1">
      <c r="A53"/>
      <c r="B53"/>
      <c r="C53" s="307"/>
      <c r="D53" s="307"/>
      <c r="E53" s="307"/>
      <c r="F53" s="307"/>
      <c r="G53" s="307"/>
      <c r="H53" s="307"/>
      <c r="I53" s="307"/>
      <c r="J53" s="307"/>
      <c r="K53" s="307"/>
      <c r="L53" s="307"/>
      <c r="M53" s="516"/>
      <c r="N53" s="516"/>
      <c r="O53" s="516"/>
      <c r="P53" s="516"/>
      <c r="Q53" s="516"/>
      <c r="R53" s="516"/>
      <c r="S53" s="516"/>
      <c r="T53" s="516"/>
      <c r="U53" s="516"/>
      <c r="V53" s="516"/>
      <c r="W53" s="516"/>
      <c r="X53" s="516"/>
      <c r="Y53" s="516"/>
      <c r="Z53" s="516"/>
      <c r="AA53" s="516"/>
      <c r="AB53" s="516"/>
      <c r="AC53" s="516"/>
      <c r="AD53" s="516"/>
      <c r="AE53" s="516"/>
      <c r="AF53" s="307"/>
      <c r="AG53" s="307"/>
      <c r="AH53" s="307"/>
      <c r="AI53" s="307"/>
      <c r="AJ53" s="307"/>
      <c r="AK53" s="307"/>
      <c r="AL53" s="307"/>
      <c r="AM53" s="307"/>
      <c r="AN53" s="307"/>
      <c r="AO53" s="307"/>
      <c r="AP53" s="307"/>
      <c r="AQ53" s="307"/>
      <c r="AR53" s="307"/>
      <c r="AS53" s="517"/>
      <c r="AT53" s="517"/>
      <c r="AU53" s="517"/>
      <c r="AV53" s="517"/>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s="137" t="s">
        <v>121</v>
      </c>
      <c r="CW53" s="138" t="s">
        <v>207</v>
      </c>
      <c r="CX53" s="138" t="s">
        <v>215</v>
      </c>
      <c r="CY53" s="139" t="s">
        <v>143</v>
      </c>
      <c r="CZ53" s="139" t="s">
        <v>216</v>
      </c>
      <c r="DA53" s="139" t="s">
        <v>148</v>
      </c>
      <c r="DB53" s="139" t="s">
        <v>149</v>
      </c>
    </row>
    <row r="54" spans="1:106" s="76" customFormat="1" ht="12.75" customHeight="1">
      <c r="A54"/>
      <c r="B54"/>
      <c r="C54" s="307"/>
      <c r="D54" s="307"/>
      <c r="E54" s="307"/>
      <c r="F54" s="307"/>
      <c r="G54" s="307"/>
      <c r="H54" s="307"/>
      <c r="I54" s="307"/>
      <c r="J54" s="307"/>
      <c r="K54" s="307"/>
      <c r="L54" s="307"/>
      <c r="M54" s="307"/>
      <c r="N54" s="307"/>
      <c r="O54" s="307"/>
      <c r="P54" s="307"/>
      <c r="Q54" s="307"/>
      <c r="R54" s="307"/>
      <c r="S54" s="307"/>
      <c r="T54" s="307"/>
      <c r="U54" s="307"/>
      <c r="V54" s="307"/>
      <c r="W54" s="307"/>
      <c r="X54" s="307"/>
      <c r="Y54" s="307"/>
      <c r="Z54" s="307"/>
      <c r="AA54" s="307"/>
      <c r="AB54" s="307"/>
      <c r="AC54" s="307"/>
      <c r="AD54" s="307"/>
      <c r="AE54" s="307"/>
      <c r="AF54" s="307"/>
      <c r="AG54" s="307"/>
      <c r="AH54" s="307"/>
      <c r="AI54" s="307"/>
      <c r="AJ54" s="307"/>
      <c r="AK54" s="307"/>
      <c r="AL54" s="307"/>
      <c r="AM54" s="307"/>
      <c r="AN54" s="307"/>
      <c r="AO54" s="307"/>
      <c r="AP54" s="307"/>
      <c r="AQ54" s="307"/>
      <c r="AR54" s="307"/>
      <c r="AS54" s="517"/>
      <c r="AT54" s="517"/>
      <c r="AU54" s="517"/>
      <c r="AV54" s="517"/>
      <c r="AW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s="137" t="s">
        <v>150</v>
      </c>
      <c r="CW54" s="138" t="s">
        <v>151</v>
      </c>
      <c r="CX54" s="138" t="s">
        <v>151</v>
      </c>
      <c r="CY54" s="139" t="s">
        <v>151</v>
      </c>
      <c r="CZ54" s="139" t="s">
        <v>151</v>
      </c>
      <c r="DA54" s="139" t="s">
        <v>151</v>
      </c>
      <c r="DB54" s="139" t="s">
        <v>151</v>
      </c>
    </row>
    <row r="55" spans="1:106" s="76" customFormat="1" ht="12.75" customHeight="1">
      <c r="A55"/>
      <c r="B55"/>
      <c r="C55" s="140"/>
      <c r="D55" s="290"/>
      <c r="E55" s="290"/>
      <c r="F55" s="290"/>
      <c r="G55" s="290"/>
      <c r="H55" s="290"/>
      <c r="I55" s="290"/>
      <c r="J55" s="290"/>
      <c r="K55" s="292"/>
      <c r="L55" s="292"/>
      <c r="M55" s="291"/>
      <c r="N55" s="291"/>
      <c r="O55" s="291"/>
      <c r="P55" s="291"/>
      <c r="Q55" s="291"/>
      <c r="R55" s="291"/>
      <c r="S55" s="291"/>
      <c r="T55" s="291"/>
      <c r="U55" s="291"/>
      <c r="V55" s="291"/>
      <c r="W55" s="291"/>
      <c r="X55" s="292"/>
      <c r="Y55" s="292"/>
      <c r="Z55" s="291"/>
      <c r="AA55" s="291"/>
      <c r="AB55" s="291"/>
      <c r="AC55" s="291"/>
      <c r="AD55" s="292"/>
      <c r="AE55" s="292"/>
      <c r="AF55" s="292"/>
      <c r="AG55" s="292"/>
      <c r="AH55" s="292"/>
      <c r="AI55" s="292"/>
      <c r="AJ55" s="292"/>
      <c r="AK55" s="292"/>
      <c r="AL55" s="292"/>
      <c r="AM55" s="292"/>
      <c r="AN55" s="292"/>
      <c r="AO55" s="292"/>
      <c r="AP55" s="292"/>
      <c r="AQ55" s="292"/>
      <c r="AR55" s="292"/>
      <c r="AS55" s="292"/>
      <c r="AT55" s="292"/>
      <c r="AU55" s="292"/>
      <c r="AV55" s="292"/>
      <c r="AW55"/>
      <c r="AX55" s="292"/>
      <c r="AY55" s="292"/>
      <c r="AZ55" s="291"/>
      <c r="BA55" s="291"/>
      <c r="BB55" s="291"/>
      <c r="BC55" s="291"/>
      <c r="BD55" s="292"/>
      <c r="BE55" s="292"/>
      <c r="BF55" s="291"/>
      <c r="BG55" s="292"/>
      <c r="BH55" s="292"/>
      <c r="BI55" s="291"/>
      <c r="BJ55" s="291"/>
      <c r="BK55" s="291"/>
      <c r="BL55" s="291"/>
      <c r="BM55" s="291"/>
      <c r="BN55" s="291"/>
      <c r="BO55" s="291"/>
      <c r="BP55" s="291"/>
      <c r="BQ55" s="291"/>
      <c r="BR55" s="291"/>
      <c r="BS55"/>
      <c r="BT55"/>
      <c r="BU55"/>
      <c r="BV55"/>
      <c r="BW55"/>
      <c r="BX55"/>
      <c r="BY55"/>
      <c r="BZ55"/>
      <c r="CA55"/>
      <c r="CB55"/>
      <c r="CC55"/>
      <c r="CD55"/>
      <c r="CE55"/>
      <c r="CF55"/>
      <c r="CG55"/>
      <c r="CH55"/>
      <c r="CI55"/>
      <c r="CJ55"/>
      <c r="CK55"/>
      <c r="CL55"/>
      <c r="CM55"/>
      <c r="CN55"/>
      <c r="CO55"/>
      <c r="CP55"/>
      <c r="CQ55"/>
      <c r="CR55"/>
      <c r="CS55"/>
      <c r="CT55"/>
      <c r="CU55"/>
      <c r="CV55" s="137" t="s">
        <v>117</v>
      </c>
      <c r="CW55" s="138" t="s">
        <v>217</v>
      </c>
      <c r="CX55" s="138" t="s">
        <v>218</v>
      </c>
      <c r="CY55" s="139" t="s">
        <v>143</v>
      </c>
      <c r="CZ55" s="139" t="s">
        <v>105</v>
      </c>
      <c r="DA55" s="139" t="s">
        <v>152</v>
      </c>
      <c r="DB55" s="139" t="s">
        <v>153</v>
      </c>
    </row>
    <row r="56" spans="1:106" s="76" customFormat="1" ht="12.75" customHeight="1">
      <c r="A56"/>
      <c r="B56"/>
      <c r="C56" s="140"/>
      <c r="D56" s="290"/>
      <c r="E56" s="290"/>
      <c r="F56" s="290"/>
      <c r="G56" s="290"/>
      <c r="H56" s="290"/>
      <c r="I56" s="290"/>
      <c r="J56" s="290"/>
      <c r="K56" s="292"/>
      <c r="L56" s="292"/>
      <c r="M56" s="291"/>
      <c r="N56" s="291"/>
      <c r="O56" s="291"/>
      <c r="P56" s="291"/>
      <c r="Q56" s="291"/>
      <c r="R56" s="291"/>
      <c r="S56" s="291"/>
      <c r="T56" s="291"/>
      <c r="U56" s="291"/>
      <c r="V56" s="291"/>
      <c r="W56" s="291"/>
      <c r="X56" s="291"/>
      <c r="Y56" s="291"/>
      <c r="Z56" s="291"/>
      <c r="AA56" s="291"/>
      <c r="AB56" s="291"/>
      <c r="AC56" s="291"/>
      <c r="AD56" s="291"/>
      <c r="AE56" s="291"/>
      <c r="AF56" s="292"/>
      <c r="AG56" s="292"/>
      <c r="AH56" s="292"/>
      <c r="AI56" s="292"/>
      <c r="AJ56" s="292"/>
      <c r="AK56" s="292"/>
      <c r="AL56" s="292"/>
      <c r="AM56" s="292"/>
      <c r="AN56" s="292"/>
      <c r="AO56" s="292"/>
      <c r="AP56" s="292"/>
      <c r="AQ56" s="292"/>
      <c r="AR56" s="292"/>
      <c r="AS56" s="292"/>
      <c r="AT56" s="292"/>
      <c r="AU56" s="292"/>
      <c r="AV56" s="292"/>
      <c r="AW56"/>
      <c r="AX56" s="292"/>
      <c r="AY56" s="292"/>
      <c r="AZ56" s="291"/>
      <c r="BA56" s="291"/>
      <c r="BB56" s="291"/>
      <c r="BC56" s="291"/>
      <c r="BD56" s="291"/>
      <c r="BE56" s="291"/>
      <c r="BF56" s="291"/>
      <c r="BG56" s="291"/>
      <c r="BH56" s="291"/>
      <c r="BI56" s="291"/>
      <c r="BJ56" s="291"/>
      <c r="BK56" s="291"/>
      <c r="BL56" s="291"/>
      <c r="BM56" s="291"/>
      <c r="BN56" s="291"/>
      <c r="BO56" s="291"/>
      <c r="BP56" s="291"/>
      <c r="BQ56" s="291"/>
      <c r="BR56" s="291"/>
      <c r="BS56"/>
      <c r="BT56"/>
      <c r="BU56"/>
      <c r="BV56"/>
      <c r="BW56"/>
      <c r="BX56"/>
      <c r="BY56"/>
      <c r="BZ56"/>
      <c r="CA56"/>
      <c r="CB56"/>
      <c r="CC56"/>
      <c r="CD56"/>
      <c r="CE56"/>
      <c r="CF56"/>
      <c r="CG56"/>
      <c r="CH56"/>
      <c r="CI56"/>
      <c r="CJ56"/>
      <c r="CK56"/>
      <c r="CL56"/>
      <c r="CM56"/>
      <c r="CN56"/>
      <c r="CO56"/>
      <c r="CP56"/>
      <c r="CQ56"/>
      <c r="CR56"/>
      <c r="CS56"/>
      <c r="CT56"/>
      <c r="CU56"/>
      <c r="CV56" s="141" t="s">
        <v>154</v>
      </c>
      <c r="CW56" s="142" t="s">
        <v>155</v>
      </c>
      <c r="CX56" s="142" t="s">
        <v>155</v>
      </c>
      <c r="CY56" s="143" t="s">
        <v>155</v>
      </c>
      <c r="CZ56" s="143" t="s">
        <v>155</v>
      </c>
      <c r="DA56" s="143" t="s">
        <v>155</v>
      </c>
      <c r="DB56" s="143" t="s">
        <v>155</v>
      </c>
    </row>
    <row r="57" spans="1:106" s="76" customFormat="1" ht="12.75" customHeight="1">
      <c r="A57"/>
      <c r="B57"/>
      <c r="C57" s="140"/>
      <c r="D57" s="290"/>
      <c r="E57" s="290"/>
      <c r="F57" s="290"/>
      <c r="G57" s="290"/>
      <c r="H57" s="290"/>
      <c r="I57" s="290"/>
      <c r="J57" s="290"/>
      <c r="K57" s="292"/>
      <c r="L57" s="292"/>
      <c r="M57" s="291"/>
      <c r="N57" s="291"/>
      <c r="O57" s="291"/>
      <c r="P57" s="291"/>
      <c r="Q57" s="291"/>
      <c r="R57" s="291"/>
      <c r="S57" s="291"/>
      <c r="T57" s="291"/>
      <c r="U57" s="291"/>
      <c r="V57" s="291"/>
      <c r="W57" s="291"/>
      <c r="X57" s="291"/>
      <c r="Y57" s="291"/>
      <c r="Z57" s="291"/>
      <c r="AA57" s="291"/>
      <c r="AB57" s="291"/>
      <c r="AC57" s="291"/>
      <c r="AD57" s="291"/>
      <c r="AE57" s="291"/>
      <c r="AF57" s="292"/>
      <c r="AG57" s="292"/>
      <c r="AH57" s="292"/>
      <c r="AI57" s="292"/>
      <c r="AJ57" s="292"/>
      <c r="AK57" s="292"/>
      <c r="AL57" s="292"/>
      <c r="AM57" s="292"/>
      <c r="AN57" s="292"/>
      <c r="AO57" s="292"/>
      <c r="AP57" s="292"/>
      <c r="AQ57" s="292"/>
      <c r="AR57" s="292"/>
      <c r="AS57" s="292"/>
      <c r="AT57" s="292"/>
      <c r="AU57" s="292"/>
      <c r="AV57" s="292"/>
      <c r="AW57"/>
      <c r="AX57" s="292"/>
      <c r="AY57" s="292"/>
      <c r="AZ57" s="291"/>
      <c r="BA57" s="291"/>
      <c r="BB57" s="291"/>
      <c r="BC57" s="291"/>
      <c r="BD57" s="291"/>
      <c r="BE57" s="291"/>
      <c r="BF57" s="291"/>
      <c r="BG57" s="291"/>
      <c r="BH57" s="291"/>
      <c r="BI57" s="291"/>
      <c r="BJ57" s="291"/>
      <c r="BK57" s="291"/>
      <c r="BL57" s="291"/>
      <c r="BM57" s="291"/>
      <c r="BN57" s="291"/>
      <c r="BO57" s="291"/>
      <c r="BP57" s="291"/>
      <c r="BQ57" s="291"/>
      <c r="BR57" s="291"/>
      <c r="BS57"/>
      <c r="BT57"/>
      <c r="BU57"/>
      <c r="BV57"/>
      <c r="BW57"/>
      <c r="BX57"/>
      <c r="BY57"/>
      <c r="BZ57"/>
      <c r="CA57"/>
      <c r="CB57"/>
      <c r="CC57"/>
      <c r="CD57"/>
      <c r="CE57"/>
      <c r="CF57"/>
      <c r="CG57"/>
      <c r="CH57"/>
      <c r="CI57"/>
      <c r="CJ57"/>
      <c r="CK57"/>
      <c r="CL57"/>
      <c r="CM57"/>
      <c r="CN57"/>
      <c r="CO57"/>
      <c r="CP57"/>
      <c r="CQ57"/>
      <c r="CR57"/>
      <c r="CS57"/>
      <c r="CT57"/>
      <c r="CU57"/>
      <c r="CV57" s="137" t="s">
        <v>156</v>
      </c>
      <c r="CW57" s="138" t="s">
        <v>219</v>
      </c>
      <c r="CX57" s="138" t="s">
        <v>144</v>
      </c>
      <c r="CY57" s="139" t="s">
        <v>157</v>
      </c>
      <c r="CZ57" s="139" t="s">
        <v>105</v>
      </c>
      <c r="DA57" s="139" t="s">
        <v>152</v>
      </c>
      <c r="DB57" s="139" t="s">
        <v>153</v>
      </c>
    </row>
    <row r="58" spans="1:106" s="76" customFormat="1" ht="12.75" customHeight="1">
      <c r="A58"/>
      <c r="B58"/>
      <c r="C58" s="140"/>
      <c r="D58" s="290"/>
      <c r="E58" s="290"/>
      <c r="F58" s="290"/>
      <c r="G58" s="290"/>
      <c r="H58" s="290"/>
      <c r="I58" s="290"/>
      <c r="J58" s="290"/>
      <c r="K58" s="292"/>
      <c r="L58" s="292"/>
      <c r="M58" s="291"/>
      <c r="N58" s="291"/>
      <c r="O58" s="291"/>
      <c r="P58" s="291"/>
      <c r="Q58" s="291"/>
      <c r="R58" s="291"/>
      <c r="S58" s="291"/>
      <c r="T58" s="291"/>
      <c r="U58" s="291"/>
      <c r="V58" s="291"/>
      <c r="W58" s="291"/>
      <c r="X58" s="291"/>
      <c r="Y58" s="291"/>
      <c r="Z58" s="291"/>
      <c r="AA58" s="291"/>
      <c r="AB58" s="291"/>
      <c r="AC58" s="291"/>
      <c r="AD58" s="291"/>
      <c r="AE58" s="291"/>
      <c r="AF58" s="292"/>
      <c r="AG58" s="292"/>
      <c r="AH58" s="292"/>
      <c r="AI58" s="292"/>
      <c r="AJ58" s="292"/>
      <c r="AK58" s="292"/>
      <c r="AL58" s="292"/>
      <c r="AM58" s="292"/>
      <c r="AN58" s="292"/>
      <c r="AO58" s="292"/>
      <c r="AP58" s="292"/>
      <c r="AQ58" s="292"/>
      <c r="AR58" s="292"/>
      <c r="AS58" s="292"/>
      <c r="AT58" s="292"/>
      <c r="AU58" s="292"/>
      <c r="AV58" s="292"/>
      <c r="AW58"/>
      <c r="AX58" s="292"/>
      <c r="AY58" s="292"/>
      <c r="AZ58" s="291"/>
      <c r="BA58" s="291"/>
      <c r="BB58" s="291"/>
      <c r="BC58" s="291"/>
      <c r="BD58" s="291"/>
      <c r="BE58" s="291"/>
      <c r="BF58" s="291"/>
      <c r="BG58" s="291"/>
      <c r="BH58" s="291"/>
      <c r="BI58" s="291"/>
      <c r="BJ58" s="291"/>
      <c r="BK58" s="291"/>
      <c r="BL58" s="291"/>
      <c r="BM58" s="291"/>
      <c r="BN58" s="291"/>
      <c r="BO58" s="291"/>
      <c r="BP58" s="291"/>
      <c r="BQ58" s="291"/>
      <c r="BR58" s="291"/>
      <c r="BS58"/>
      <c r="BT58"/>
      <c r="BU58"/>
      <c r="BV58"/>
      <c r="BW58"/>
      <c r="BX58"/>
      <c r="BY58"/>
      <c r="BZ58"/>
      <c r="CA58"/>
      <c r="CB58"/>
      <c r="CC58"/>
      <c r="CD58"/>
      <c r="CE58"/>
      <c r="CF58"/>
      <c r="CG58"/>
      <c r="CH58"/>
      <c r="CI58"/>
      <c r="CJ58"/>
      <c r="CK58"/>
      <c r="CL58"/>
      <c r="CM58"/>
      <c r="CN58"/>
      <c r="CO58"/>
      <c r="CP58"/>
      <c r="CQ58"/>
      <c r="CR58"/>
      <c r="CS58"/>
      <c r="CT58"/>
      <c r="CU58"/>
      <c r="CV58" s="144" t="s">
        <v>116</v>
      </c>
      <c r="CW58" s="145" t="s">
        <v>217</v>
      </c>
      <c r="CX58" s="145" t="s">
        <v>218</v>
      </c>
      <c r="CY58" s="146" t="s">
        <v>143</v>
      </c>
      <c r="CZ58" s="146" t="s">
        <v>105</v>
      </c>
      <c r="DA58" s="146" t="s">
        <v>152</v>
      </c>
      <c r="DB58" s="146" t="s">
        <v>153</v>
      </c>
    </row>
    <row r="59" spans="1:106" s="76" customFormat="1" ht="12.75" customHeight="1">
      <c r="A59"/>
      <c r="B59"/>
      <c r="C59" s="140"/>
      <c r="D59" s="290"/>
      <c r="E59" s="290"/>
      <c r="F59" s="290"/>
      <c r="G59" s="290"/>
      <c r="H59" s="290"/>
      <c r="I59" s="290"/>
      <c r="J59" s="290"/>
      <c r="K59" s="292"/>
      <c r="L59" s="292"/>
      <c r="M59" s="291"/>
      <c r="N59" s="291"/>
      <c r="O59" s="291"/>
      <c r="P59" s="291"/>
      <c r="Q59" s="291"/>
      <c r="R59" s="291"/>
      <c r="S59" s="291"/>
      <c r="T59" s="291"/>
      <c r="U59" s="291"/>
      <c r="V59" s="291"/>
      <c r="W59" s="291"/>
      <c r="X59" s="291"/>
      <c r="Y59" s="291"/>
      <c r="Z59" s="291"/>
      <c r="AA59" s="291"/>
      <c r="AB59" s="291"/>
      <c r="AC59" s="291"/>
      <c r="AD59" s="291"/>
      <c r="AE59" s="291"/>
      <c r="AF59" s="292"/>
      <c r="AG59" s="292"/>
      <c r="AH59" s="292"/>
      <c r="AI59" s="292"/>
      <c r="AJ59" s="292"/>
      <c r="AK59" s="292"/>
      <c r="AL59" s="292"/>
      <c r="AM59" s="292"/>
      <c r="AN59" s="292"/>
      <c r="AO59" s="292"/>
      <c r="AP59" s="292"/>
      <c r="AQ59" s="292"/>
      <c r="AR59" s="292"/>
      <c r="AS59" s="292"/>
      <c r="AT59" s="292"/>
      <c r="AU59" s="292"/>
      <c r="AV59" s="292"/>
      <c r="AW59"/>
      <c r="AX59" s="292"/>
      <c r="AY59" s="292"/>
      <c r="AZ59" s="291"/>
      <c r="BA59" s="291"/>
      <c r="BB59" s="291"/>
      <c r="BC59" s="291"/>
      <c r="BD59" s="291"/>
      <c r="BE59" s="291"/>
      <c r="BF59" s="291"/>
      <c r="BG59" s="291"/>
      <c r="BH59" s="291"/>
      <c r="BI59" s="291"/>
      <c r="BJ59" s="291"/>
      <c r="BK59" s="291"/>
      <c r="BL59" s="291"/>
      <c r="BM59" s="291"/>
      <c r="BN59" s="291"/>
      <c r="BO59" s="291"/>
      <c r="BP59" s="291"/>
      <c r="BQ59" s="291"/>
      <c r="BR59" s="291"/>
      <c r="BS59"/>
      <c r="BT59"/>
      <c r="BU59"/>
      <c r="BV59"/>
      <c r="BW59"/>
      <c r="BX59"/>
      <c r="BY59"/>
      <c r="BZ59"/>
      <c r="CA59"/>
      <c r="CB59"/>
      <c r="CC59"/>
      <c r="CD59"/>
      <c r="CE59"/>
      <c r="CF59"/>
      <c r="CG59"/>
      <c r="CH59"/>
      <c r="CI59"/>
      <c r="CJ59"/>
      <c r="CK59"/>
      <c r="CL59"/>
      <c r="CM59"/>
      <c r="CN59"/>
      <c r="CO59"/>
      <c r="CP59"/>
      <c r="CQ59"/>
      <c r="CR59"/>
      <c r="CS59"/>
      <c r="CT59"/>
      <c r="CU59"/>
      <c r="CV59" s="144" t="s">
        <v>158</v>
      </c>
      <c r="CW59" s="145" t="s">
        <v>217</v>
      </c>
      <c r="CX59" s="145" t="s">
        <v>218</v>
      </c>
      <c r="CY59" s="146" t="s">
        <v>143</v>
      </c>
      <c r="CZ59" s="146" t="s">
        <v>105</v>
      </c>
      <c r="DA59" s="146" t="s">
        <v>152</v>
      </c>
      <c r="DB59" s="146" t="s">
        <v>153</v>
      </c>
    </row>
    <row r="60" spans="1:106" ht="12.75" customHeight="1">
      <c r="C60" s="147"/>
      <c r="D60" s="295"/>
      <c r="E60" s="295"/>
      <c r="F60" s="295"/>
      <c r="G60" s="295"/>
      <c r="H60" s="295"/>
      <c r="I60" s="295"/>
      <c r="J60" s="295"/>
      <c r="K60" s="294"/>
      <c r="L60" s="294"/>
      <c r="M60" s="293"/>
      <c r="N60" s="293"/>
      <c r="O60" s="293"/>
      <c r="P60" s="293"/>
      <c r="Q60" s="293"/>
      <c r="R60" s="293"/>
      <c r="S60" s="293"/>
      <c r="T60" s="293"/>
      <c r="U60" s="293"/>
      <c r="V60" s="293"/>
      <c r="W60" s="293"/>
      <c r="X60" s="293"/>
      <c r="Y60" s="293"/>
      <c r="Z60" s="293"/>
      <c r="AA60" s="293"/>
      <c r="AB60" s="293"/>
      <c r="AC60" s="293"/>
      <c r="AD60" s="293"/>
      <c r="AE60" s="293"/>
      <c r="AF60" s="294"/>
      <c r="AG60" s="294"/>
      <c r="AH60" s="294"/>
      <c r="AI60" s="294"/>
      <c r="AJ60" s="294"/>
      <c r="AK60" s="294"/>
      <c r="AL60" s="294"/>
      <c r="AM60" s="294"/>
      <c r="AN60" s="294"/>
      <c r="AO60" s="294"/>
      <c r="AP60" s="294"/>
      <c r="AQ60" s="294"/>
      <c r="AR60" s="294"/>
      <c r="AS60" s="294"/>
      <c r="AT60" s="294"/>
      <c r="AU60" s="294"/>
      <c r="AV60" s="294"/>
      <c r="AX60" s="294"/>
      <c r="AY60" s="294"/>
      <c r="AZ60" s="293"/>
      <c r="BA60" s="293"/>
      <c r="BB60" s="293"/>
      <c r="BC60" s="293"/>
      <c r="BD60" s="293"/>
      <c r="BE60" s="293"/>
      <c r="BF60" s="293"/>
      <c r="BG60" s="293"/>
      <c r="BH60" s="293"/>
      <c r="BI60" s="293"/>
      <c r="BJ60" s="293"/>
      <c r="BK60" s="293"/>
      <c r="BL60" s="293"/>
      <c r="BM60" s="293"/>
      <c r="BN60" s="293"/>
      <c r="BO60" s="293"/>
      <c r="BP60" s="293"/>
      <c r="BQ60" s="293"/>
      <c r="BR60" s="293"/>
      <c r="CV60" s="137" t="s">
        <v>159</v>
      </c>
      <c r="CW60" s="138" t="s">
        <v>217</v>
      </c>
      <c r="CX60" s="138" t="s">
        <v>218</v>
      </c>
      <c r="CY60" s="139" t="s">
        <v>143</v>
      </c>
      <c r="CZ60" s="139" t="s">
        <v>105</v>
      </c>
      <c r="DA60" s="139" t="s">
        <v>152</v>
      </c>
      <c r="DB60" s="139" t="s">
        <v>153</v>
      </c>
    </row>
    <row r="61" spans="1:106" ht="12.75" customHeight="1">
      <c r="C61" s="140"/>
      <c r="D61" s="290"/>
      <c r="E61" s="290"/>
      <c r="F61" s="290"/>
      <c r="G61" s="290"/>
      <c r="H61" s="290"/>
      <c r="I61" s="290"/>
      <c r="J61" s="290"/>
      <c r="K61" s="292"/>
      <c r="L61" s="292"/>
      <c r="M61" s="291"/>
      <c r="N61" s="291"/>
      <c r="O61" s="291"/>
      <c r="P61" s="291"/>
      <c r="Q61" s="291"/>
      <c r="R61" s="291"/>
      <c r="S61" s="291"/>
      <c r="T61" s="291"/>
      <c r="U61" s="291"/>
      <c r="V61" s="291"/>
      <c r="W61" s="291"/>
      <c r="X61" s="291"/>
      <c r="Y61" s="291"/>
      <c r="Z61" s="291"/>
      <c r="AA61" s="291"/>
      <c r="AB61" s="291"/>
      <c r="AC61" s="291"/>
      <c r="AD61" s="291"/>
      <c r="AE61" s="291"/>
      <c r="AF61" s="292"/>
      <c r="AG61" s="292"/>
      <c r="AH61" s="292"/>
      <c r="AI61" s="292"/>
      <c r="AJ61" s="292"/>
      <c r="AK61" s="292"/>
      <c r="AL61" s="292"/>
      <c r="AM61" s="292"/>
      <c r="AN61" s="292"/>
      <c r="AO61" s="292"/>
      <c r="AP61" s="292"/>
      <c r="AQ61" s="292"/>
      <c r="AR61" s="292"/>
      <c r="AS61" s="292"/>
      <c r="AT61" s="292"/>
      <c r="AU61" s="292"/>
      <c r="AV61" s="292"/>
      <c r="AX61" s="292"/>
      <c r="AY61" s="292"/>
      <c r="AZ61" s="291"/>
      <c r="BA61" s="291"/>
      <c r="BB61" s="291"/>
      <c r="BC61" s="291"/>
      <c r="BD61" s="291"/>
      <c r="BE61" s="291"/>
      <c r="BF61" s="291"/>
      <c r="BG61" s="291"/>
      <c r="BH61" s="291"/>
      <c r="BI61" s="291"/>
      <c r="BJ61" s="291"/>
      <c r="BK61" s="291"/>
      <c r="BL61" s="291"/>
      <c r="BM61" s="291"/>
      <c r="BN61" s="291"/>
      <c r="BO61" s="291"/>
      <c r="BP61" s="291"/>
      <c r="BQ61" s="291"/>
      <c r="BR61" s="291"/>
      <c r="CV61" s="137" t="s">
        <v>160</v>
      </c>
      <c r="CW61" s="138" t="s">
        <v>220</v>
      </c>
      <c r="CX61" s="138" t="s">
        <v>218</v>
      </c>
      <c r="CY61" s="139" t="s">
        <v>143</v>
      </c>
      <c r="CZ61" s="139" t="s">
        <v>161</v>
      </c>
      <c r="DA61" s="139" t="s">
        <v>162</v>
      </c>
      <c r="DB61" s="139" t="s">
        <v>153</v>
      </c>
    </row>
    <row r="62" spans="1:106" ht="12.75" customHeight="1">
      <c r="C62" s="148"/>
      <c r="D62" s="297"/>
      <c r="E62" s="297"/>
      <c r="F62" s="297"/>
      <c r="G62" s="297"/>
      <c r="H62" s="297"/>
      <c r="I62" s="297"/>
      <c r="J62" s="297"/>
      <c r="K62" s="288"/>
      <c r="L62" s="288"/>
      <c r="M62" s="289"/>
      <c r="N62" s="289"/>
      <c r="O62" s="289"/>
      <c r="P62" s="289"/>
      <c r="Q62" s="289"/>
      <c r="R62" s="289"/>
      <c r="S62" s="289"/>
      <c r="T62" s="289"/>
      <c r="U62" s="289"/>
      <c r="V62" s="289"/>
      <c r="W62" s="289"/>
      <c r="X62" s="289"/>
      <c r="Y62" s="289"/>
      <c r="Z62" s="289"/>
      <c r="AA62" s="289"/>
      <c r="AB62" s="289"/>
      <c r="AC62" s="289"/>
      <c r="AD62" s="289"/>
      <c r="AE62" s="289"/>
      <c r="AF62" s="288"/>
      <c r="AG62" s="288"/>
      <c r="AH62" s="288"/>
      <c r="AI62" s="288"/>
      <c r="AJ62" s="288"/>
      <c r="AK62" s="288"/>
      <c r="AL62" s="288"/>
      <c r="AM62" s="288"/>
      <c r="AN62" s="288"/>
      <c r="AO62" s="288"/>
      <c r="AP62" s="288"/>
      <c r="AQ62" s="288"/>
      <c r="AR62" s="288"/>
      <c r="AS62" s="288"/>
      <c r="AT62" s="288"/>
      <c r="AU62" s="288"/>
      <c r="AV62" s="288"/>
      <c r="AX62" s="288"/>
      <c r="AY62" s="288"/>
      <c r="AZ62" s="289"/>
      <c r="BA62" s="289"/>
      <c r="BB62" s="289"/>
      <c r="BC62" s="289"/>
      <c r="BD62" s="289"/>
      <c r="BE62" s="289"/>
      <c r="BF62" s="289"/>
      <c r="BG62" s="289"/>
      <c r="BH62" s="289"/>
      <c r="BI62" s="289"/>
      <c r="BJ62" s="289"/>
      <c r="BK62" s="289"/>
      <c r="BL62" s="289"/>
      <c r="BM62" s="289"/>
      <c r="BN62" s="289"/>
      <c r="BO62" s="289"/>
      <c r="BP62" s="289"/>
      <c r="BQ62" s="289"/>
      <c r="BR62" s="289"/>
      <c r="CV62" s="137" t="s">
        <v>163</v>
      </c>
      <c r="CW62" s="138" t="s">
        <v>217</v>
      </c>
      <c r="CX62" s="138" t="s">
        <v>218</v>
      </c>
      <c r="CY62" s="139" t="s">
        <v>143</v>
      </c>
      <c r="CZ62" s="139" t="s">
        <v>164</v>
      </c>
      <c r="DA62" s="139" t="s">
        <v>140</v>
      </c>
      <c r="DB62" s="139" t="s">
        <v>153</v>
      </c>
    </row>
    <row r="63" spans="1:106" ht="12.75" customHeight="1">
      <c r="C63" s="148"/>
      <c r="D63" s="297"/>
      <c r="E63" s="297"/>
      <c r="F63" s="297"/>
      <c r="G63" s="297"/>
      <c r="H63" s="297"/>
      <c r="I63" s="297"/>
      <c r="J63" s="297"/>
      <c r="K63" s="288"/>
      <c r="L63" s="288"/>
      <c r="M63" s="289"/>
      <c r="N63" s="289"/>
      <c r="O63" s="289"/>
      <c r="P63" s="289"/>
      <c r="Q63" s="289"/>
      <c r="R63" s="289"/>
      <c r="S63" s="289"/>
      <c r="T63" s="289"/>
      <c r="U63" s="289"/>
      <c r="V63" s="289"/>
      <c r="W63" s="289"/>
      <c r="X63" s="289"/>
      <c r="Y63" s="289"/>
      <c r="Z63" s="289"/>
      <c r="AA63" s="289"/>
      <c r="AB63" s="289"/>
      <c r="AC63" s="289"/>
      <c r="AD63" s="289"/>
      <c r="AE63" s="289"/>
      <c r="AF63" s="288"/>
      <c r="AG63" s="288"/>
      <c r="AH63" s="288"/>
      <c r="AI63" s="288"/>
      <c r="AJ63" s="288"/>
      <c r="AK63" s="288"/>
      <c r="AL63" s="288"/>
      <c r="AM63" s="288"/>
      <c r="AN63" s="288"/>
      <c r="AO63" s="288"/>
      <c r="AP63" s="288"/>
      <c r="AQ63" s="288"/>
      <c r="AR63" s="288"/>
      <c r="AS63" s="288"/>
      <c r="AT63" s="288"/>
      <c r="AU63" s="288"/>
      <c r="AV63" s="288"/>
      <c r="AX63" s="288"/>
      <c r="AY63" s="288"/>
      <c r="AZ63" s="289"/>
      <c r="BA63" s="289"/>
      <c r="BB63" s="289"/>
      <c r="BC63" s="289"/>
      <c r="BD63" s="289"/>
      <c r="BE63" s="289"/>
      <c r="BF63" s="289"/>
      <c r="BG63" s="289"/>
      <c r="BH63" s="289"/>
      <c r="BI63" s="289"/>
      <c r="BJ63" s="289"/>
      <c r="BK63" s="289"/>
      <c r="BL63" s="289"/>
      <c r="BM63" s="289"/>
      <c r="BN63" s="289"/>
      <c r="BO63" s="289"/>
      <c r="BP63" s="289"/>
      <c r="BQ63" s="289"/>
      <c r="BR63" s="289"/>
      <c r="CV63" s="137" t="s">
        <v>165</v>
      </c>
      <c r="CW63" s="138" t="s">
        <v>217</v>
      </c>
      <c r="CX63" s="138" t="s">
        <v>218</v>
      </c>
      <c r="CY63" s="139" t="s">
        <v>143</v>
      </c>
      <c r="CZ63" s="139" t="s">
        <v>105</v>
      </c>
      <c r="DA63" s="139" t="s">
        <v>152</v>
      </c>
      <c r="DB63" s="139" t="s">
        <v>153</v>
      </c>
    </row>
    <row r="64" spans="1:106" ht="12.75" customHeight="1">
      <c r="C64" s="140"/>
      <c r="D64" s="290"/>
      <c r="E64" s="290"/>
      <c r="F64" s="290"/>
      <c r="G64" s="290"/>
      <c r="H64" s="290"/>
      <c r="I64" s="290"/>
      <c r="J64" s="290"/>
      <c r="K64" s="292"/>
      <c r="L64" s="292"/>
      <c r="M64" s="291"/>
      <c r="N64" s="291"/>
      <c r="O64" s="291"/>
      <c r="P64" s="291"/>
      <c r="Q64" s="291"/>
      <c r="R64" s="291"/>
      <c r="S64" s="291"/>
      <c r="T64" s="291"/>
      <c r="U64" s="291"/>
      <c r="V64" s="291"/>
      <c r="W64" s="291"/>
      <c r="X64" s="291"/>
      <c r="Y64" s="291"/>
      <c r="Z64" s="291"/>
      <c r="AA64" s="291"/>
      <c r="AB64" s="291"/>
      <c r="AC64" s="291"/>
      <c r="AD64" s="291"/>
      <c r="AE64" s="291"/>
      <c r="AF64" s="292"/>
      <c r="AG64" s="292"/>
      <c r="AH64" s="292"/>
      <c r="AI64" s="292"/>
      <c r="AJ64" s="292"/>
      <c r="AK64" s="292"/>
      <c r="AL64" s="292"/>
      <c r="AM64" s="292"/>
      <c r="AN64" s="292"/>
      <c r="AO64" s="292"/>
      <c r="AP64" s="292"/>
      <c r="AQ64" s="292"/>
      <c r="AR64" s="292"/>
      <c r="AS64" s="292"/>
      <c r="AT64" s="292"/>
      <c r="AU64" s="292"/>
      <c r="AV64" s="292"/>
      <c r="AX64" s="292"/>
      <c r="AY64" s="292"/>
      <c r="AZ64" s="291"/>
      <c r="BA64" s="291"/>
      <c r="BB64" s="291"/>
      <c r="BC64" s="291"/>
      <c r="BD64" s="291"/>
      <c r="BE64" s="291"/>
      <c r="BF64" s="291"/>
      <c r="BG64" s="291"/>
      <c r="BH64" s="291"/>
      <c r="BI64" s="291"/>
      <c r="BJ64" s="291"/>
      <c r="BK64" s="291"/>
      <c r="BL64" s="291"/>
      <c r="BM64" s="291"/>
      <c r="BN64" s="291"/>
      <c r="BO64" s="291"/>
      <c r="BP64" s="291"/>
      <c r="BQ64" s="291"/>
      <c r="BR64" s="291"/>
      <c r="CV64" s="137" t="s">
        <v>118</v>
      </c>
      <c r="CW64" s="138" t="s">
        <v>221</v>
      </c>
      <c r="CX64" s="138" t="s">
        <v>222</v>
      </c>
      <c r="CY64" s="149">
        <v>10</v>
      </c>
      <c r="CZ64" s="139" t="s">
        <v>105</v>
      </c>
      <c r="DA64" s="139" t="s">
        <v>138</v>
      </c>
      <c r="DB64" s="139" t="s">
        <v>153</v>
      </c>
    </row>
    <row r="65" spans="3:106" ht="12.75" customHeight="1">
      <c r="C65" s="140"/>
      <c r="D65" s="290"/>
      <c r="E65" s="290"/>
      <c r="F65" s="290"/>
      <c r="G65" s="290"/>
      <c r="H65" s="290"/>
      <c r="I65" s="290"/>
      <c r="J65" s="290"/>
      <c r="K65" s="292"/>
      <c r="L65" s="292"/>
      <c r="M65" s="291"/>
      <c r="N65" s="291"/>
      <c r="O65" s="291"/>
      <c r="P65" s="291"/>
      <c r="Q65" s="291"/>
      <c r="R65" s="291"/>
      <c r="S65" s="291"/>
      <c r="T65" s="291"/>
      <c r="U65" s="291"/>
      <c r="V65" s="291"/>
      <c r="W65" s="291"/>
      <c r="X65" s="291"/>
      <c r="Y65" s="291"/>
      <c r="Z65" s="291"/>
      <c r="AA65" s="291"/>
      <c r="AB65" s="291"/>
      <c r="AC65" s="291"/>
      <c r="AD65" s="291"/>
      <c r="AE65" s="291"/>
      <c r="AF65" s="292"/>
      <c r="AG65" s="292"/>
      <c r="AH65" s="292"/>
      <c r="AI65" s="292"/>
      <c r="AJ65" s="292"/>
      <c r="AK65" s="292"/>
      <c r="AL65" s="292"/>
      <c r="AM65" s="292"/>
      <c r="AN65" s="292"/>
      <c r="AO65" s="292"/>
      <c r="AP65" s="292"/>
      <c r="AQ65" s="292"/>
      <c r="AR65" s="292"/>
      <c r="AS65" s="292"/>
      <c r="AT65" s="292"/>
      <c r="AU65" s="292"/>
      <c r="AV65" s="292"/>
      <c r="AX65" s="292"/>
      <c r="AY65" s="292"/>
      <c r="AZ65" s="291"/>
      <c r="BA65" s="291"/>
      <c r="BB65" s="291"/>
      <c r="BC65" s="291"/>
      <c r="BD65" s="291"/>
      <c r="BE65" s="291"/>
      <c r="BF65" s="291"/>
      <c r="BG65" s="291"/>
      <c r="BH65" s="291"/>
      <c r="BI65" s="291"/>
      <c r="BJ65" s="291"/>
      <c r="BK65" s="291"/>
      <c r="BL65" s="291"/>
      <c r="BM65" s="291"/>
      <c r="BN65" s="291"/>
      <c r="BO65" s="291"/>
      <c r="BP65" s="291"/>
      <c r="BQ65" s="291"/>
      <c r="BR65" s="291"/>
      <c r="CV65" s="137" t="s">
        <v>119</v>
      </c>
      <c r="CW65" s="138" t="s">
        <v>221</v>
      </c>
      <c r="CX65" s="138" t="s">
        <v>222</v>
      </c>
      <c r="CY65" s="149">
        <v>10</v>
      </c>
      <c r="CZ65" s="139" t="s">
        <v>105</v>
      </c>
      <c r="DA65" s="139" t="s">
        <v>138</v>
      </c>
      <c r="DB65" s="139" t="s">
        <v>153</v>
      </c>
    </row>
    <row r="66" spans="3:106" ht="12.75" customHeight="1">
      <c r="C66" s="140"/>
      <c r="D66" s="290"/>
      <c r="E66" s="290"/>
      <c r="F66" s="290"/>
      <c r="G66" s="290"/>
      <c r="H66" s="290"/>
      <c r="I66" s="290"/>
      <c r="J66" s="290"/>
      <c r="K66" s="292"/>
      <c r="L66" s="292"/>
      <c r="M66" s="291"/>
      <c r="N66" s="291"/>
      <c r="O66" s="291"/>
      <c r="P66" s="291"/>
      <c r="Q66" s="291"/>
      <c r="R66" s="291"/>
      <c r="S66" s="291"/>
      <c r="T66" s="291"/>
      <c r="U66" s="291"/>
      <c r="V66" s="291"/>
      <c r="W66" s="291"/>
      <c r="X66" s="291"/>
      <c r="Y66" s="291"/>
      <c r="Z66" s="291"/>
      <c r="AA66" s="291"/>
      <c r="AB66" s="291"/>
      <c r="AC66" s="291"/>
      <c r="AD66" s="291"/>
      <c r="AE66" s="291"/>
      <c r="AF66" s="292"/>
      <c r="AG66" s="292"/>
      <c r="AH66" s="292"/>
      <c r="AI66" s="292"/>
      <c r="AJ66" s="292"/>
      <c r="AK66" s="292"/>
      <c r="AL66" s="292"/>
      <c r="AM66" s="292"/>
      <c r="AN66" s="292"/>
      <c r="AO66" s="292"/>
      <c r="AP66" s="292"/>
      <c r="AQ66" s="292"/>
      <c r="AR66" s="292"/>
      <c r="AS66" s="292"/>
      <c r="AT66" s="292"/>
      <c r="AU66" s="292"/>
      <c r="AV66" s="292"/>
      <c r="AX66" s="292"/>
      <c r="AY66" s="292"/>
      <c r="AZ66" s="291"/>
      <c r="BA66" s="291"/>
      <c r="BB66" s="291"/>
      <c r="BC66" s="291"/>
      <c r="BD66" s="291"/>
      <c r="BE66" s="291"/>
      <c r="BF66" s="291"/>
      <c r="BG66" s="291"/>
      <c r="BH66" s="291"/>
      <c r="BI66" s="291"/>
      <c r="BJ66" s="291"/>
      <c r="BK66" s="291"/>
      <c r="BL66" s="291"/>
      <c r="BM66" s="291"/>
      <c r="BN66" s="291"/>
      <c r="BO66" s="291"/>
      <c r="BP66" s="291"/>
      <c r="BQ66" s="291"/>
      <c r="BR66" s="291"/>
      <c r="CV66" s="137" t="s">
        <v>166</v>
      </c>
      <c r="CW66" s="138" t="s">
        <v>106</v>
      </c>
      <c r="CX66" s="138" t="s">
        <v>106</v>
      </c>
      <c r="CY66" s="139" t="s">
        <v>167</v>
      </c>
      <c r="CZ66" s="139" t="s">
        <v>168</v>
      </c>
      <c r="DA66" s="139" t="s">
        <v>147</v>
      </c>
      <c r="DB66" s="139" t="s">
        <v>169</v>
      </c>
    </row>
    <row r="67" spans="3:106" ht="12.75" customHeight="1">
      <c r="C67" s="140"/>
      <c r="D67" s="290"/>
      <c r="E67" s="290"/>
      <c r="F67" s="290"/>
      <c r="G67" s="290"/>
      <c r="H67" s="290"/>
      <c r="I67" s="290"/>
      <c r="J67" s="290"/>
      <c r="K67" s="292"/>
      <c r="L67" s="292"/>
      <c r="M67" s="291"/>
      <c r="N67" s="291"/>
      <c r="O67" s="291"/>
      <c r="P67" s="291"/>
      <c r="Q67" s="291"/>
      <c r="R67" s="291"/>
      <c r="S67" s="291"/>
      <c r="T67" s="291"/>
      <c r="U67" s="291"/>
      <c r="V67" s="291"/>
      <c r="W67" s="291"/>
      <c r="X67" s="291"/>
      <c r="Y67" s="291"/>
      <c r="Z67" s="291"/>
      <c r="AA67" s="291"/>
      <c r="AB67" s="291"/>
      <c r="AC67" s="291"/>
      <c r="AD67" s="291"/>
      <c r="AE67" s="291"/>
      <c r="AF67" s="292"/>
      <c r="AG67" s="292"/>
      <c r="AH67" s="292"/>
      <c r="AI67" s="292"/>
      <c r="AJ67" s="292"/>
      <c r="AK67" s="292"/>
      <c r="AL67" s="292"/>
      <c r="AM67" s="292"/>
      <c r="AN67" s="292"/>
      <c r="AO67" s="292"/>
      <c r="AP67" s="292"/>
      <c r="AQ67" s="292"/>
      <c r="AR67" s="292"/>
      <c r="AS67" s="292"/>
      <c r="AT67" s="292"/>
      <c r="AU67" s="292"/>
      <c r="AV67" s="292"/>
      <c r="AX67" s="292"/>
      <c r="AY67" s="292"/>
      <c r="AZ67" s="291"/>
      <c r="BA67" s="291"/>
      <c r="BB67" s="291"/>
      <c r="BC67" s="291"/>
      <c r="BD67" s="291"/>
      <c r="BE67" s="291"/>
      <c r="BF67" s="291"/>
      <c r="BG67" s="291"/>
      <c r="BH67" s="291"/>
      <c r="BI67" s="291"/>
      <c r="BJ67" s="291"/>
      <c r="BK67" s="291"/>
      <c r="BL67" s="291"/>
      <c r="BM67" s="291"/>
      <c r="BN67" s="291"/>
      <c r="BO67" s="291"/>
      <c r="BP67" s="291"/>
      <c r="BQ67" s="291"/>
      <c r="BR67" s="291"/>
      <c r="CV67" s="137" t="s">
        <v>170</v>
      </c>
      <c r="CW67" s="138" t="s">
        <v>115</v>
      </c>
      <c r="CX67" s="138" t="s">
        <v>223</v>
      </c>
      <c r="CY67" s="149">
        <v>1.4999999999999999E-2</v>
      </c>
      <c r="CZ67" s="139" t="s">
        <v>105</v>
      </c>
      <c r="DA67" s="139" t="s">
        <v>138</v>
      </c>
      <c r="DB67" s="139" t="s">
        <v>171</v>
      </c>
    </row>
    <row r="68" spans="3:106" ht="12.75" customHeight="1">
      <c r="C68" s="140"/>
      <c r="D68" s="290"/>
      <c r="E68" s="290"/>
      <c r="F68" s="290"/>
      <c r="G68" s="290"/>
      <c r="H68" s="290"/>
      <c r="I68" s="290"/>
      <c r="J68" s="290"/>
      <c r="K68" s="292"/>
      <c r="L68" s="292"/>
      <c r="M68" s="291"/>
      <c r="N68" s="291"/>
      <c r="O68" s="291"/>
      <c r="P68" s="291"/>
      <c r="Q68" s="291"/>
      <c r="R68" s="291"/>
      <c r="S68" s="291"/>
      <c r="T68" s="291"/>
      <c r="U68" s="291"/>
      <c r="V68" s="291"/>
      <c r="W68" s="291"/>
      <c r="X68" s="291"/>
      <c r="Y68" s="291"/>
      <c r="Z68" s="291"/>
      <c r="AA68" s="291"/>
      <c r="AB68" s="291"/>
      <c r="AC68" s="292"/>
      <c r="AD68" s="292"/>
      <c r="AE68" s="292"/>
      <c r="AF68" s="292"/>
      <c r="AG68" s="292"/>
      <c r="AH68" s="292"/>
      <c r="AI68" s="292"/>
      <c r="AJ68" s="292"/>
      <c r="AK68" s="292"/>
      <c r="AL68" s="292"/>
      <c r="AM68" s="292"/>
      <c r="AN68" s="292"/>
      <c r="AO68" s="292"/>
      <c r="AP68" s="292"/>
      <c r="AQ68" s="292"/>
      <c r="AR68" s="292"/>
      <c r="AS68" s="292"/>
      <c r="AT68" s="292"/>
      <c r="AU68" s="292"/>
      <c r="AV68" s="292"/>
      <c r="AX68" s="292"/>
      <c r="AY68" s="292"/>
      <c r="AZ68" s="291"/>
      <c r="BA68" s="291"/>
      <c r="BB68" s="291"/>
      <c r="BC68" s="291"/>
      <c r="BD68" s="291"/>
      <c r="BE68" s="291"/>
      <c r="BF68" s="292"/>
      <c r="BG68" s="292"/>
      <c r="BH68" s="292"/>
      <c r="BI68" s="291"/>
      <c r="BJ68" s="291"/>
      <c r="BK68" s="291"/>
      <c r="BL68" s="291"/>
      <c r="BM68" s="291"/>
      <c r="BN68" s="291"/>
      <c r="BO68" s="291"/>
      <c r="BP68" s="291"/>
      <c r="BQ68" s="291"/>
      <c r="BR68" s="291"/>
      <c r="CV68" s="137" t="s">
        <v>122</v>
      </c>
      <c r="CW68" s="138" t="s">
        <v>106</v>
      </c>
      <c r="CX68" s="138" t="s">
        <v>224</v>
      </c>
      <c r="CY68" s="139" t="s">
        <v>143</v>
      </c>
      <c r="CZ68" s="139" t="s">
        <v>172</v>
      </c>
      <c r="DA68" s="139" t="s">
        <v>138</v>
      </c>
      <c r="DB68" s="139" t="s">
        <v>153</v>
      </c>
    </row>
    <row r="69" spans="3:106" ht="12.75" customHeight="1">
      <c r="C69" s="140"/>
      <c r="D69" s="296"/>
      <c r="E69" s="296"/>
      <c r="F69" s="296"/>
      <c r="G69" s="296"/>
      <c r="H69" s="296"/>
      <c r="I69" s="296"/>
      <c r="J69" s="296"/>
      <c r="K69" s="292"/>
      <c r="L69" s="292"/>
      <c r="M69" s="291"/>
      <c r="N69" s="291"/>
      <c r="O69" s="291"/>
      <c r="P69" s="291"/>
      <c r="Q69" s="291"/>
      <c r="R69" s="291"/>
      <c r="S69" s="291"/>
      <c r="T69" s="291"/>
      <c r="U69" s="291"/>
      <c r="V69" s="291"/>
      <c r="W69" s="291"/>
      <c r="X69" s="291"/>
      <c r="Y69" s="291"/>
      <c r="Z69" s="291"/>
      <c r="AA69" s="291"/>
      <c r="AB69" s="291"/>
      <c r="AC69" s="292"/>
      <c r="AD69" s="292"/>
      <c r="AE69" s="292"/>
      <c r="AF69" s="292"/>
      <c r="AG69" s="292"/>
      <c r="AH69" s="292"/>
      <c r="AI69" s="292"/>
      <c r="AJ69" s="292"/>
      <c r="AK69" s="292"/>
      <c r="AL69" s="292"/>
      <c r="AM69" s="292"/>
      <c r="AN69" s="292"/>
      <c r="AO69" s="292"/>
      <c r="AP69" s="292"/>
      <c r="AQ69" s="292"/>
      <c r="AR69" s="292"/>
      <c r="AS69" s="292"/>
      <c r="AT69" s="292"/>
      <c r="AU69" s="292"/>
      <c r="AV69" s="292"/>
      <c r="AX69" s="292"/>
      <c r="AY69" s="292"/>
      <c r="AZ69" s="291"/>
      <c r="BA69" s="291"/>
      <c r="BB69" s="291"/>
      <c r="BC69" s="291"/>
      <c r="BD69" s="291"/>
      <c r="BE69" s="291"/>
      <c r="BF69" s="292"/>
      <c r="BG69" s="292"/>
      <c r="BH69" s="292"/>
      <c r="BI69" s="291"/>
      <c r="BJ69" s="291"/>
      <c r="BK69" s="291"/>
      <c r="BL69" s="291"/>
      <c r="BM69" s="291"/>
      <c r="BN69" s="291"/>
      <c r="BO69" s="291"/>
      <c r="BP69" s="291"/>
      <c r="BQ69" s="291"/>
      <c r="BR69" s="291"/>
      <c r="CV69" s="141" t="s">
        <v>173</v>
      </c>
      <c r="CW69" s="142" t="s">
        <v>225</v>
      </c>
      <c r="CX69" s="142" t="s">
        <v>226</v>
      </c>
      <c r="CY69" s="143" t="s">
        <v>174</v>
      </c>
      <c r="CZ69" s="143" t="s">
        <v>175</v>
      </c>
      <c r="DA69" s="143" t="s">
        <v>176</v>
      </c>
      <c r="DB69" s="143" t="s">
        <v>177</v>
      </c>
    </row>
    <row r="70" spans="3:106" ht="12.75" customHeight="1">
      <c r="C70" s="140"/>
      <c r="D70" s="290"/>
      <c r="E70" s="290"/>
      <c r="F70" s="290"/>
      <c r="G70" s="290"/>
      <c r="H70" s="290"/>
      <c r="I70" s="290"/>
      <c r="J70" s="290"/>
      <c r="K70" s="292"/>
      <c r="L70" s="292"/>
      <c r="M70" s="291"/>
      <c r="N70" s="291"/>
      <c r="O70" s="291"/>
      <c r="P70" s="291"/>
      <c r="Q70" s="291"/>
      <c r="R70" s="291"/>
      <c r="S70" s="291"/>
      <c r="T70" s="291"/>
      <c r="U70" s="291"/>
      <c r="V70" s="291"/>
      <c r="W70" s="291"/>
      <c r="X70" s="291"/>
      <c r="Y70" s="291"/>
      <c r="Z70" s="291"/>
      <c r="AA70" s="291"/>
      <c r="AB70" s="291"/>
      <c r="AC70" s="291"/>
      <c r="AD70" s="291"/>
      <c r="AE70" s="291"/>
      <c r="AF70" s="292"/>
      <c r="AG70" s="292"/>
      <c r="AH70" s="292"/>
      <c r="AI70" s="292"/>
      <c r="AJ70" s="292"/>
      <c r="AK70" s="292"/>
      <c r="AL70" s="292"/>
      <c r="AM70" s="292"/>
      <c r="AN70" s="292"/>
      <c r="AO70" s="292"/>
      <c r="AP70" s="292"/>
      <c r="AQ70" s="292"/>
      <c r="AR70" s="292"/>
      <c r="AS70" s="292"/>
      <c r="AT70" s="292"/>
      <c r="AU70" s="292"/>
      <c r="AV70" s="292"/>
      <c r="AX70" s="292"/>
      <c r="AY70" s="292"/>
      <c r="AZ70" s="291"/>
      <c r="BA70" s="291"/>
      <c r="BB70" s="291"/>
      <c r="BC70" s="291"/>
      <c r="BD70" s="291"/>
      <c r="BE70" s="291"/>
      <c r="BF70" s="291"/>
      <c r="BG70" s="291"/>
      <c r="BH70" s="291"/>
      <c r="BI70" s="291"/>
      <c r="BJ70" s="291"/>
      <c r="BK70" s="291"/>
      <c r="BL70" s="291"/>
      <c r="BM70" s="291"/>
      <c r="BN70" s="291"/>
      <c r="BO70" s="291"/>
      <c r="BP70" s="291"/>
      <c r="BQ70" s="291"/>
      <c r="BR70" s="291"/>
      <c r="CV70" s="137" t="s">
        <v>178</v>
      </c>
      <c r="CW70" s="138" t="s">
        <v>217</v>
      </c>
      <c r="CX70" s="138" t="s">
        <v>218</v>
      </c>
      <c r="CY70" s="139" t="s">
        <v>143</v>
      </c>
      <c r="CZ70" s="139" t="s">
        <v>105</v>
      </c>
      <c r="DA70" s="139" t="s">
        <v>152</v>
      </c>
      <c r="DB70" s="139" t="s">
        <v>153</v>
      </c>
    </row>
    <row r="71" spans="3:106" ht="12.75" customHeight="1">
      <c r="C71" s="140"/>
      <c r="D71" s="290"/>
      <c r="E71" s="290"/>
      <c r="F71" s="290"/>
      <c r="G71" s="290"/>
      <c r="H71" s="290"/>
      <c r="I71" s="290"/>
      <c r="J71" s="290"/>
      <c r="K71" s="292"/>
      <c r="L71" s="292"/>
      <c r="M71" s="291"/>
      <c r="N71" s="291"/>
      <c r="O71" s="291"/>
      <c r="P71" s="291"/>
      <c r="Q71" s="291"/>
      <c r="R71" s="291"/>
      <c r="S71" s="291"/>
      <c r="T71" s="291"/>
      <c r="U71" s="291"/>
      <c r="V71" s="291"/>
      <c r="W71" s="291"/>
      <c r="X71" s="291"/>
      <c r="Y71" s="291"/>
      <c r="Z71" s="291"/>
      <c r="AA71" s="291"/>
      <c r="AB71" s="291"/>
      <c r="AC71" s="292"/>
      <c r="AD71" s="292"/>
      <c r="AE71" s="292"/>
      <c r="AF71" s="292"/>
      <c r="AG71" s="292"/>
      <c r="AH71" s="292"/>
      <c r="AI71" s="292"/>
      <c r="AJ71" s="292"/>
      <c r="AK71" s="292"/>
      <c r="AL71" s="292"/>
      <c r="AM71" s="292"/>
      <c r="AN71" s="292"/>
      <c r="AO71" s="292"/>
      <c r="AP71" s="292"/>
      <c r="AQ71" s="292"/>
      <c r="AR71" s="292"/>
      <c r="AS71" s="292"/>
      <c r="AT71" s="292"/>
      <c r="AU71" s="292"/>
      <c r="AV71" s="292"/>
      <c r="AX71" s="292"/>
      <c r="AY71" s="292"/>
      <c r="AZ71" s="291"/>
      <c r="BA71" s="291"/>
      <c r="BB71" s="291"/>
      <c r="BC71" s="291"/>
      <c r="BD71" s="291"/>
      <c r="BE71" s="291"/>
      <c r="BF71" s="292"/>
      <c r="BG71" s="292"/>
      <c r="BH71" s="292"/>
      <c r="BI71" s="291"/>
      <c r="BJ71" s="291"/>
      <c r="BK71" s="291"/>
      <c r="BL71" s="291"/>
      <c r="BM71" s="291"/>
      <c r="BN71" s="291"/>
      <c r="BO71" s="291"/>
      <c r="BP71" s="291"/>
      <c r="BQ71" s="291"/>
      <c r="BR71" s="291"/>
      <c r="CV71" s="137" t="s">
        <v>179</v>
      </c>
      <c r="CW71" s="138" t="s">
        <v>180</v>
      </c>
      <c r="CX71" s="138" t="s">
        <v>143</v>
      </c>
      <c r="CY71" s="139" t="s">
        <v>181</v>
      </c>
      <c r="CZ71" s="139" t="s">
        <v>182</v>
      </c>
      <c r="DA71" s="139" t="s">
        <v>171</v>
      </c>
      <c r="DB71" s="139" t="s">
        <v>183</v>
      </c>
    </row>
    <row r="72" spans="3:106" ht="12.75" customHeight="1">
      <c r="C72" s="140"/>
      <c r="D72" s="290"/>
      <c r="E72" s="290"/>
      <c r="F72" s="290"/>
      <c r="G72" s="290"/>
      <c r="H72" s="290"/>
      <c r="I72" s="290"/>
      <c r="J72" s="290"/>
      <c r="K72" s="292"/>
      <c r="L72" s="292"/>
      <c r="M72" s="291"/>
      <c r="N72" s="291"/>
      <c r="O72" s="291"/>
      <c r="P72" s="291"/>
      <c r="Q72" s="291"/>
      <c r="R72" s="291"/>
      <c r="S72" s="291"/>
      <c r="T72" s="291"/>
      <c r="U72" s="291"/>
      <c r="V72" s="291"/>
      <c r="W72" s="291"/>
      <c r="X72" s="291"/>
      <c r="Y72" s="291"/>
      <c r="Z72" s="291"/>
      <c r="AA72" s="291"/>
      <c r="AB72" s="291"/>
      <c r="AC72" s="291"/>
      <c r="AD72" s="291"/>
      <c r="AE72" s="291"/>
      <c r="AF72" s="292"/>
      <c r="AG72" s="292"/>
      <c r="AH72" s="292"/>
      <c r="AI72" s="292"/>
      <c r="AJ72" s="292"/>
      <c r="AK72" s="292"/>
      <c r="AL72" s="292"/>
      <c r="AM72" s="292"/>
      <c r="AN72" s="292"/>
      <c r="AO72" s="292"/>
      <c r="AP72" s="292"/>
      <c r="AQ72" s="292"/>
      <c r="AR72" s="292"/>
      <c r="AS72" s="292"/>
      <c r="AT72" s="292"/>
      <c r="AU72" s="292"/>
      <c r="AV72" s="292"/>
      <c r="AX72" s="292"/>
      <c r="AY72" s="292"/>
      <c r="AZ72" s="291"/>
      <c r="BA72" s="291"/>
      <c r="BB72" s="291"/>
      <c r="BC72" s="291"/>
      <c r="BD72" s="291"/>
      <c r="BE72" s="291"/>
      <c r="BF72" s="291"/>
      <c r="BG72" s="291"/>
      <c r="BH72" s="291"/>
      <c r="BI72" s="291"/>
      <c r="BJ72" s="291"/>
      <c r="BK72" s="291"/>
      <c r="BL72" s="291"/>
      <c r="BM72" s="291"/>
      <c r="BN72" s="291"/>
      <c r="BO72" s="291"/>
      <c r="BP72" s="291"/>
      <c r="BQ72" s="291"/>
      <c r="BR72" s="291"/>
      <c r="CV72" s="137" t="s">
        <v>184</v>
      </c>
      <c r="CW72" s="138" t="s">
        <v>185</v>
      </c>
      <c r="CX72" s="138" t="s">
        <v>227</v>
      </c>
      <c r="CY72" s="139" t="s">
        <v>143</v>
      </c>
      <c r="CZ72" s="139" t="s">
        <v>186</v>
      </c>
      <c r="DA72" s="139" t="s">
        <v>171</v>
      </c>
      <c r="DB72" s="139" t="s">
        <v>183</v>
      </c>
    </row>
    <row r="73" spans="3:106" ht="12.75" customHeight="1">
      <c r="C73" s="147"/>
      <c r="D73" s="295"/>
      <c r="E73" s="295"/>
      <c r="F73" s="295"/>
      <c r="G73" s="295"/>
      <c r="H73" s="295"/>
      <c r="I73" s="295"/>
      <c r="J73" s="295"/>
      <c r="K73" s="294"/>
      <c r="L73" s="294"/>
      <c r="M73" s="293"/>
      <c r="N73" s="293"/>
      <c r="O73" s="293"/>
      <c r="P73" s="293"/>
      <c r="Q73" s="293"/>
      <c r="R73" s="293"/>
      <c r="S73" s="293"/>
      <c r="T73" s="293"/>
      <c r="U73" s="293"/>
      <c r="V73" s="293"/>
      <c r="W73" s="293"/>
      <c r="X73" s="293"/>
      <c r="Y73" s="293"/>
      <c r="Z73" s="293"/>
      <c r="AA73" s="293"/>
      <c r="AB73" s="293"/>
      <c r="AC73" s="293"/>
      <c r="AD73" s="293"/>
      <c r="AE73" s="293"/>
      <c r="AF73" s="294"/>
      <c r="AG73" s="294"/>
      <c r="AH73" s="294"/>
      <c r="AI73" s="294"/>
      <c r="AJ73" s="294"/>
      <c r="AK73" s="294"/>
      <c r="AL73" s="294"/>
      <c r="AM73" s="294"/>
      <c r="AN73" s="294"/>
      <c r="AO73" s="294"/>
      <c r="AP73" s="294"/>
      <c r="AQ73" s="294"/>
      <c r="AR73" s="294"/>
      <c r="AS73" s="294"/>
      <c r="AT73" s="294"/>
      <c r="AU73" s="294"/>
      <c r="AV73" s="294"/>
      <c r="AX73" s="294"/>
      <c r="AY73" s="294"/>
      <c r="AZ73" s="293"/>
      <c r="BA73" s="293"/>
      <c r="BB73" s="293"/>
      <c r="BC73" s="293"/>
      <c r="BD73" s="293"/>
      <c r="BE73" s="293"/>
      <c r="BF73" s="293"/>
      <c r="BG73" s="293"/>
      <c r="BH73" s="293"/>
      <c r="BI73" s="293"/>
      <c r="BJ73" s="293"/>
      <c r="BK73" s="293"/>
      <c r="BL73" s="293"/>
      <c r="BM73" s="293"/>
      <c r="BN73" s="293"/>
      <c r="BO73" s="293"/>
      <c r="BP73" s="293"/>
      <c r="BQ73" s="293"/>
      <c r="BR73" s="293"/>
      <c r="CV73" s="137" t="s">
        <v>187</v>
      </c>
      <c r="CW73" s="138" t="s">
        <v>217</v>
      </c>
      <c r="CX73" s="138" t="s">
        <v>218</v>
      </c>
      <c r="CY73" s="139" t="s">
        <v>143</v>
      </c>
      <c r="CZ73" s="139" t="s">
        <v>105</v>
      </c>
      <c r="DA73" s="139" t="s">
        <v>152</v>
      </c>
      <c r="DB73" s="139" t="s">
        <v>153</v>
      </c>
    </row>
    <row r="74" spans="3:106" ht="12.75" customHeight="1">
      <c r="C74" s="140"/>
      <c r="D74" s="290"/>
      <c r="E74" s="290"/>
      <c r="F74" s="290"/>
      <c r="G74" s="290"/>
      <c r="H74" s="290"/>
      <c r="I74" s="290"/>
      <c r="J74" s="290"/>
      <c r="K74" s="292"/>
      <c r="L74" s="292"/>
      <c r="M74" s="291"/>
      <c r="N74" s="291"/>
      <c r="O74" s="291"/>
      <c r="P74" s="291"/>
      <c r="Q74" s="291"/>
      <c r="R74" s="291"/>
      <c r="S74" s="291"/>
      <c r="T74" s="291"/>
      <c r="U74" s="291"/>
      <c r="V74" s="291"/>
      <c r="W74" s="291"/>
      <c r="X74" s="291"/>
      <c r="Y74" s="291"/>
      <c r="Z74" s="291"/>
      <c r="AA74" s="291"/>
      <c r="AB74" s="291"/>
      <c r="AC74" s="291"/>
      <c r="AD74" s="291"/>
      <c r="AE74" s="291"/>
      <c r="AF74" s="292"/>
      <c r="AG74" s="292"/>
      <c r="AH74" s="292"/>
      <c r="AI74" s="292"/>
      <c r="AJ74" s="292"/>
      <c r="AK74" s="292"/>
      <c r="AL74" s="292"/>
      <c r="AM74" s="292"/>
      <c r="AN74" s="292"/>
      <c r="AO74" s="292"/>
      <c r="AP74" s="292"/>
      <c r="AQ74" s="292"/>
      <c r="AR74" s="292"/>
      <c r="AS74" s="292"/>
      <c r="AT74" s="292"/>
      <c r="AU74" s="292"/>
      <c r="AV74" s="292"/>
      <c r="AX74" s="292"/>
      <c r="AY74" s="292"/>
      <c r="AZ74" s="291"/>
      <c r="BA74" s="291"/>
      <c r="BB74" s="291"/>
      <c r="BC74" s="291"/>
      <c r="BD74" s="291"/>
      <c r="BE74" s="291"/>
      <c r="BF74" s="291"/>
      <c r="BG74" s="291"/>
      <c r="BH74" s="291"/>
      <c r="BI74" s="291"/>
      <c r="BJ74" s="291"/>
      <c r="BK74" s="291"/>
      <c r="BL74" s="291"/>
      <c r="BM74" s="291"/>
      <c r="BN74" s="291"/>
      <c r="BO74" s="291"/>
      <c r="BP74" s="291"/>
      <c r="BQ74" s="291"/>
      <c r="BR74" s="291"/>
      <c r="CV74" s="137" t="s">
        <v>188</v>
      </c>
      <c r="CW74" s="138" t="s">
        <v>189</v>
      </c>
      <c r="CX74" s="138" t="s">
        <v>218</v>
      </c>
      <c r="CY74" s="139" t="s">
        <v>143</v>
      </c>
      <c r="CZ74" s="139" t="s">
        <v>190</v>
      </c>
      <c r="DA74" s="139" t="s">
        <v>136</v>
      </c>
      <c r="DB74" s="139" t="s">
        <v>153</v>
      </c>
    </row>
    <row r="75" spans="3:106" ht="12.75" customHeight="1">
      <c r="C75" s="140"/>
      <c r="D75" s="290"/>
      <c r="E75" s="290"/>
      <c r="F75" s="290"/>
      <c r="G75" s="290"/>
      <c r="H75" s="290"/>
      <c r="I75" s="290"/>
      <c r="J75" s="290"/>
      <c r="K75" s="292"/>
      <c r="L75" s="292"/>
      <c r="M75" s="291"/>
      <c r="N75" s="291"/>
      <c r="O75" s="291"/>
      <c r="P75" s="291"/>
      <c r="Q75" s="291"/>
      <c r="R75" s="291"/>
      <c r="S75" s="291"/>
      <c r="T75" s="291"/>
      <c r="U75" s="291"/>
      <c r="V75" s="291"/>
      <c r="W75" s="291"/>
      <c r="X75" s="291"/>
      <c r="Y75" s="291"/>
      <c r="Z75" s="291"/>
      <c r="AA75" s="291"/>
      <c r="AB75" s="291"/>
      <c r="AC75" s="291"/>
      <c r="AD75" s="292"/>
      <c r="AE75" s="292"/>
      <c r="AF75" s="292"/>
      <c r="AG75" s="292"/>
      <c r="AH75" s="292"/>
      <c r="AI75" s="292"/>
      <c r="AJ75" s="292"/>
      <c r="AK75" s="292"/>
      <c r="AL75" s="292"/>
      <c r="AM75" s="292"/>
      <c r="AN75" s="292"/>
      <c r="AO75" s="292"/>
      <c r="AP75" s="292"/>
      <c r="AQ75" s="292"/>
      <c r="AR75" s="292"/>
      <c r="AS75" s="292"/>
      <c r="AT75" s="292"/>
      <c r="AU75" s="292"/>
      <c r="AV75" s="292"/>
      <c r="AX75" s="292"/>
      <c r="AY75" s="292"/>
      <c r="AZ75" s="291"/>
      <c r="BA75" s="291"/>
      <c r="BB75" s="291"/>
      <c r="BC75" s="291"/>
      <c r="BD75" s="291"/>
      <c r="BE75" s="291"/>
      <c r="BF75" s="291"/>
      <c r="BG75" s="292"/>
      <c r="BH75" s="292"/>
      <c r="BI75" s="291"/>
      <c r="BJ75" s="291"/>
      <c r="BK75" s="291"/>
      <c r="BL75" s="291"/>
      <c r="BM75" s="291"/>
      <c r="BN75" s="291"/>
      <c r="BO75" s="291"/>
      <c r="BP75" s="291"/>
      <c r="BQ75" s="291"/>
      <c r="BR75" s="291"/>
      <c r="CV75" s="141" t="s">
        <v>191</v>
      </c>
      <c r="CW75" s="142" t="s">
        <v>225</v>
      </c>
      <c r="CX75" s="142" t="s">
        <v>226</v>
      </c>
      <c r="CY75" s="143" t="s">
        <v>174</v>
      </c>
      <c r="CZ75" s="143" t="s">
        <v>175</v>
      </c>
      <c r="DA75" s="143" t="s">
        <v>176</v>
      </c>
      <c r="DB75" s="143" t="s">
        <v>177</v>
      </c>
    </row>
    <row r="76" spans="3:106" ht="12.75" customHeight="1">
      <c r="C76" s="140"/>
      <c r="D76" s="290"/>
      <c r="E76" s="290"/>
      <c r="F76" s="290"/>
      <c r="G76" s="290"/>
      <c r="H76" s="290"/>
      <c r="I76" s="290"/>
      <c r="J76" s="290"/>
      <c r="K76" s="292"/>
      <c r="L76" s="292"/>
      <c r="M76" s="291"/>
      <c r="N76" s="291"/>
      <c r="O76" s="291"/>
      <c r="P76" s="291"/>
      <c r="Q76" s="291"/>
      <c r="R76" s="291"/>
      <c r="S76" s="291"/>
      <c r="T76" s="291"/>
      <c r="U76" s="291"/>
      <c r="V76" s="291"/>
      <c r="W76" s="291"/>
      <c r="X76" s="291"/>
      <c r="Y76" s="291"/>
      <c r="Z76" s="291"/>
      <c r="AA76" s="291"/>
      <c r="AB76" s="291"/>
      <c r="AC76" s="291"/>
      <c r="AD76" s="291"/>
      <c r="AE76" s="291"/>
      <c r="AF76" s="292"/>
      <c r="AG76" s="292"/>
      <c r="AH76" s="292"/>
      <c r="AI76" s="292"/>
      <c r="AJ76" s="292"/>
      <c r="AK76" s="292"/>
      <c r="AL76" s="292"/>
      <c r="AM76" s="292"/>
      <c r="AN76" s="292"/>
      <c r="AO76" s="292"/>
      <c r="AP76" s="292"/>
      <c r="AQ76" s="292"/>
      <c r="AR76" s="292"/>
      <c r="AS76" s="292"/>
      <c r="AT76" s="292"/>
      <c r="AU76" s="292"/>
      <c r="AV76" s="292"/>
      <c r="AX76" s="292"/>
      <c r="AY76" s="292"/>
      <c r="AZ76" s="291"/>
      <c r="BA76" s="291"/>
      <c r="BB76" s="291"/>
      <c r="BC76" s="291"/>
      <c r="BD76" s="291"/>
      <c r="BE76" s="291"/>
      <c r="BF76" s="291"/>
      <c r="BG76" s="291"/>
      <c r="BH76" s="291"/>
      <c r="BI76" s="291"/>
      <c r="BJ76" s="291"/>
      <c r="BK76" s="291"/>
      <c r="BL76" s="291"/>
      <c r="BM76" s="291"/>
      <c r="BN76" s="291"/>
      <c r="BO76" s="291"/>
      <c r="BP76" s="291"/>
      <c r="BQ76" s="291"/>
      <c r="BR76" s="291"/>
      <c r="CV76" s="137" t="s">
        <v>192</v>
      </c>
      <c r="CW76" s="138" t="s">
        <v>225</v>
      </c>
      <c r="CX76" s="138" t="s">
        <v>226</v>
      </c>
      <c r="CY76" s="139" t="s">
        <v>174</v>
      </c>
      <c r="CZ76" s="139" t="s">
        <v>175</v>
      </c>
      <c r="DA76" s="139" t="s">
        <v>241</v>
      </c>
      <c r="DB76" s="139" t="s">
        <v>240</v>
      </c>
    </row>
    <row r="77" spans="3:106" ht="12.75" customHeight="1">
      <c r="C77" s="140"/>
      <c r="D77" s="290"/>
      <c r="E77" s="290"/>
      <c r="F77" s="290"/>
      <c r="G77" s="290"/>
      <c r="H77" s="290"/>
      <c r="I77" s="290"/>
      <c r="J77" s="290"/>
      <c r="K77" s="292"/>
      <c r="L77" s="292"/>
      <c r="M77" s="291"/>
      <c r="N77" s="291"/>
      <c r="O77" s="291"/>
      <c r="P77" s="291"/>
      <c r="Q77" s="291"/>
      <c r="R77" s="291"/>
      <c r="S77" s="291"/>
      <c r="T77" s="291"/>
      <c r="U77" s="291"/>
      <c r="V77" s="291"/>
      <c r="W77" s="291"/>
      <c r="X77" s="291"/>
      <c r="Y77" s="291"/>
      <c r="Z77" s="291"/>
      <c r="AA77" s="291"/>
      <c r="AB77" s="291"/>
      <c r="AC77" s="291"/>
      <c r="AD77" s="291"/>
      <c r="AE77" s="291"/>
      <c r="AF77" s="292"/>
      <c r="AG77" s="292"/>
      <c r="AH77" s="292"/>
      <c r="AI77" s="292"/>
      <c r="AJ77" s="292"/>
      <c r="AK77" s="292"/>
      <c r="AL77" s="292"/>
      <c r="AM77" s="292"/>
      <c r="AN77" s="292"/>
      <c r="AO77" s="292"/>
      <c r="AP77" s="292"/>
      <c r="AQ77" s="292"/>
      <c r="AR77" s="292"/>
      <c r="AS77" s="292"/>
      <c r="AT77" s="292"/>
      <c r="AU77" s="292"/>
      <c r="AV77" s="292"/>
      <c r="AX77" s="292"/>
      <c r="AY77" s="292"/>
      <c r="AZ77" s="291"/>
      <c r="BA77" s="291"/>
      <c r="BB77" s="291"/>
      <c r="BC77" s="291"/>
      <c r="BD77" s="291"/>
      <c r="BE77" s="291"/>
      <c r="BF77" s="291"/>
      <c r="BG77" s="291"/>
      <c r="BH77" s="291"/>
      <c r="BI77" s="291"/>
      <c r="BJ77" s="291"/>
      <c r="BK77" s="291"/>
      <c r="BL77" s="291"/>
      <c r="BM77" s="291"/>
      <c r="BN77" s="291"/>
      <c r="BO77" s="291"/>
      <c r="BP77" s="291"/>
      <c r="BQ77" s="291"/>
      <c r="BR77" s="291"/>
      <c r="CV77" s="137" t="s">
        <v>193</v>
      </c>
      <c r="CW77" s="138" t="s">
        <v>225</v>
      </c>
      <c r="CX77" s="138" t="s">
        <v>226</v>
      </c>
      <c r="CY77" s="139" t="s">
        <v>174</v>
      </c>
      <c r="CZ77" s="139" t="s">
        <v>175</v>
      </c>
      <c r="DA77" s="139" t="s">
        <v>241</v>
      </c>
      <c r="DB77" s="139" t="s">
        <v>240</v>
      </c>
    </row>
    <row r="78" spans="3:106" ht="12.75" customHeight="1">
      <c r="C78" s="140"/>
      <c r="D78" s="290"/>
      <c r="E78" s="290"/>
      <c r="F78" s="290"/>
      <c r="G78" s="290"/>
      <c r="H78" s="290"/>
      <c r="I78" s="290"/>
      <c r="J78" s="290"/>
      <c r="K78" s="292"/>
      <c r="L78" s="292"/>
      <c r="M78" s="291"/>
      <c r="N78" s="291"/>
      <c r="O78" s="291"/>
      <c r="P78" s="291"/>
      <c r="Q78" s="291"/>
      <c r="R78" s="291"/>
      <c r="S78" s="291"/>
      <c r="T78" s="291"/>
      <c r="U78" s="291"/>
      <c r="V78" s="291"/>
      <c r="W78" s="291"/>
      <c r="X78" s="291"/>
      <c r="Y78" s="291"/>
      <c r="Z78" s="291"/>
      <c r="AA78" s="291"/>
      <c r="AB78" s="291"/>
      <c r="AC78" s="291"/>
      <c r="AD78" s="291"/>
      <c r="AE78" s="291"/>
      <c r="AF78" s="292"/>
      <c r="AG78" s="292"/>
      <c r="AH78" s="292"/>
      <c r="AI78" s="292"/>
      <c r="AJ78" s="292"/>
      <c r="AK78" s="292"/>
      <c r="AL78" s="292"/>
      <c r="AM78" s="292"/>
      <c r="AN78" s="292"/>
      <c r="AO78" s="292"/>
      <c r="AP78" s="292"/>
      <c r="AQ78" s="292"/>
      <c r="AR78" s="292"/>
      <c r="AS78" s="292"/>
      <c r="AT78" s="292"/>
      <c r="AU78" s="292"/>
      <c r="AV78" s="292"/>
      <c r="AX78" s="292"/>
      <c r="AY78" s="292"/>
      <c r="AZ78" s="291"/>
      <c r="BA78" s="291"/>
      <c r="BB78" s="291"/>
      <c r="BC78" s="291"/>
      <c r="BD78" s="291"/>
      <c r="BE78" s="291"/>
      <c r="BF78" s="291"/>
      <c r="BG78" s="291"/>
      <c r="BH78" s="291"/>
      <c r="BI78" s="291"/>
      <c r="BJ78" s="291"/>
      <c r="BK78" s="291"/>
      <c r="BL78" s="291"/>
      <c r="BM78" s="291"/>
      <c r="BN78" s="291"/>
      <c r="BO78" s="291"/>
      <c r="BP78" s="291"/>
      <c r="BQ78" s="291"/>
      <c r="BR78" s="291"/>
      <c r="CV78" s="137" t="s">
        <v>194</v>
      </c>
      <c r="CW78" s="138" t="s">
        <v>225</v>
      </c>
      <c r="CX78" s="138" t="s">
        <v>226</v>
      </c>
      <c r="CY78" s="139" t="s">
        <v>174</v>
      </c>
      <c r="CZ78" s="139" t="s">
        <v>175</v>
      </c>
      <c r="DA78" s="139" t="s">
        <v>241</v>
      </c>
      <c r="DB78" s="139" t="s">
        <v>240</v>
      </c>
    </row>
    <row r="79" spans="3:106" ht="12.75" customHeight="1">
      <c r="C79" s="147"/>
      <c r="D79" s="295"/>
      <c r="E79" s="295"/>
      <c r="F79" s="295"/>
      <c r="G79" s="295"/>
      <c r="H79" s="295"/>
      <c r="I79" s="295"/>
      <c r="J79" s="295"/>
      <c r="K79" s="294"/>
      <c r="L79" s="294"/>
      <c r="M79" s="293"/>
      <c r="N79" s="293"/>
      <c r="O79" s="293"/>
      <c r="P79" s="293"/>
      <c r="Q79" s="293"/>
      <c r="R79" s="293"/>
      <c r="S79" s="293"/>
      <c r="T79" s="293"/>
      <c r="U79" s="293"/>
      <c r="V79" s="293"/>
      <c r="W79" s="293"/>
      <c r="X79" s="293"/>
      <c r="Y79" s="293"/>
      <c r="Z79" s="293"/>
      <c r="AA79" s="293"/>
      <c r="AB79" s="293"/>
      <c r="AC79" s="293"/>
      <c r="AD79" s="293"/>
      <c r="AE79" s="293"/>
      <c r="AF79" s="294"/>
      <c r="AG79" s="294"/>
      <c r="AH79" s="294"/>
      <c r="AI79" s="294"/>
      <c r="AJ79" s="294"/>
      <c r="AK79" s="294"/>
      <c r="AL79" s="294"/>
      <c r="AM79" s="294"/>
      <c r="AN79" s="294"/>
      <c r="AO79" s="294"/>
      <c r="AP79" s="294"/>
      <c r="AQ79" s="294"/>
      <c r="AR79" s="294"/>
      <c r="AS79" s="294"/>
      <c r="AT79" s="294"/>
      <c r="AU79" s="294"/>
      <c r="AV79" s="294"/>
      <c r="AX79" s="294"/>
      <c r="AY79" s="294"/>
      <c r="AZ79" s="293"/>
      <c r="BA79" s="293"/>
      <c r="BB79" s="293"/>
      <c r="BC79" s="293"/>
      <c r="BD79" s="293"/>
      <c r="BE79" s="293"/>
      <c r="BF79" s="293"/>
      <c r="BG79" s="293"/>
      <c r="BH79" s="293"/>
      <c r="BI79" s="293"/>
      <c r="BJ79" s="293"/>
      <c r="BK79" s="293"/>
      <c r="BL79" s="293"/>
      <c r="BM79" s="293"/>
      <c r="BN79" s="293"/>
      <c r="BO79" s="293"/>
      <c r="BP79" s="293"/>
      <c r="BQ79" s="293"/>
      <c r="BR79" s="293"/>
      <c r="CV79" s="141" t="s">
        <v>120</v>
      </c>
      <c r="CW79" s="142" t="s">
        <v>155</v>
      </c>
      <c r="CX79" s="142" t="s">
        <v>155</v>
      </c>
      <c r="CY79" s="143" t="s">
        <v>155</v>
      </c>
      <c r="CZ79" s="143" t="s">
        <v>155</v>
      </c>
      <c r="DA79" s="143" t="s">
        <v>155</v>
      </c>
      <c r="DB79" s="143" t="s">
        <v>155</v>
      </c>
    </row>
    <row r="80" spans="3:106" ht="12.75" customHeight="1">
      <c r="C80" s="140"/>
      <c r="D80" s="290"/>
      <c r="E80" s="290"/>
      <c r="F80" s="290"/>
      <c r="G80" s="290"/>
      <c r="H80" s="290"/>
      <c r="I80" s="290"/>
      <c r="J80" s="290"/>
      <c r="K80" s="292"/>
      <c r="L80" s="292"/>
      <c r="M80" s="291"/>
      <c r="N80" s="291"/>
      <c r="O80" s="291"/>
      <c r="P80" s="291"/>
      <c r="Q80" s="291"/>
      <c r="R80" s="291"/>
      <c r="S80" s="291"/>
      <c r="T80" s="291"/>
      <c r="U80" s="291"/>
      <c r="V80" s="291"/>
      <c r="W80" s="291"/>
      <c r="X80" s="291"/>
      <c r="Y80" s="291"/>
      <c r="Z80" s="291"/>
      <c r="AA80" s="291"/>
      <c r="AB80" s="291"/>
      <c r="AC80" s="291"/>
      <c r="AD80" s="291"/>
      <c r="AE80" s="291"/>
      <c r="AF80" s="292"/>
      <c r="AG80" s="292"/>
      <c r="AH80" s="292"/>
      <c r="AI80" s="292"/>
      <c r="AJ80" s="292"/>
      <c r="AK80" s="292"/>
      <c r="AL80" s="292"/>
      <c r="AM80" s="292"/>
      <c r="AN80" s="292"/>
      <c r="AO80" s="292"/>
      <c r="AP80" s="292"/>
      <c r="AQ80" s="292"/>
      <c r="AR80" s="292"/>
      <c r="AS80" s="292"/>
      <c r="AT80" s="292"/>
      <c r="AU80" s="292"/>
      <c r="AV80" s="292"/>
      <c r="AX80" s="292"/>
      <c r="AY80" s="292"/>
      <c r="AZ80" s="291"/>
      <c r="BA80" s="291"/>
      <c r="BB80" s="291"/>
      <c r="BC80" s="291"/>
      <c r="BD80" s="291"/>
      <c r="BE80" s="291"/>
      <c r="BF80" s="291"/>
      <c r="BG80" s="291"/>
      <c r="BH80" s="291"/>
      <c r="BI80" s="291"/>
      <c r="BJ80" s="291"/>
      <c r="BK80" s="291"/>
      <c r="BL80" s="291"/>
      <c r="BM80" s="291"/>
      <c r="BN80" s="291"/>
      <c r="BO80" s="291"/>
      <c r="BP80" s="291"/>
      <c r="BQ80" s="291"/>
      <c r="BR80" s="291"/>
      <c r="CV80" s="141" t="s">
        <v>121</v>
      </c>
      <c r="CW80" s="142" t="s">
        <v>155</v>
      </c>
      <c r="CX80" s="142" t="s">
        <v>155</v>
      </c>
      <c r="CY80" s="143" t="s">
        <v>155</v>
      </c>
      <c r="CZ80" s="143" t="s">
        <v>155</v>
      </c>
      <c r="DA80" s="143" t="s">
        <v>155</v>
      </c>
      <c r="DB80" s="143" t="s">
        <v>155</v>
      </c>
    </row>
    <row r="81" spans="3:106" ht="12.75" customHeight="1">
      <c r="C81" s="140"/>
      <c r="D81" s="290"/>
      <c r="E81" s="290"/>
      <c r="F81" s="290"/>
      <c r="G81" s="290"/>
      <c r="H81" s="290"/>
      <c r="I81" s="290"/>
      <c r="J81" s="290"/>
      <c r="K81" s="292"/>
      <c r="L81" s="292"/>
      <c r="M81" s="291"/>
      <c r="N81" s="291"/>
      <c r="O81" s="291"/>
      <c r="P81" s="291"/>
      <c r="Q81" s="291"/>
      <c r="R81" s="291"/>
      <c r="S81" s="291"/>
      <c r="T81" s="291"/>
      <c r="U81" s="291"/>
      <c r="V81" s="291"/>
      <c r="W81" s="291"/>
      <c r="X81" s="291"/>
      <c r="Y81" s="291"/>
      <c r="Z81" s="291"/>
      <c r="AA81" s="291"/>
      <c r="AB81" s="291"/>
      <c r="AC81" s="291"/>
      <c r="AD81" s="291"/>
      <c r="AE81" s="291"/>
      <c r="AF81" s="292"/>
      <c r="AG81" s="292"/>
      <c r="AH81" s="292"/>
      <c r="AI81" s="292"/>
      <c r="AJ81" s="292"/>
      <c r="AK81" s="292"/>
      <c r="AL81" s="292"/>
      <c r="AM81" s="292"/>
      <c r="AN81" s="292"/>
      <c r="AO81" s="292"/>
      <c r="AP81" s="292"/>
      <c r="AQ81" s="292"/>
      <c r="AR81" s="292"/>
      <c r="AS81" s="292"/>
      <c r="AT81" s="292"/>
      <c r="AU81" s="292"/>
      <c r="AV81" s="292"/>
      <c r="AX81" s="292"/>
      <c r="AY81" s="292"/>
      <c r="AZ81" s="291"/>
      <c r="BA81" s="291"/>
      <c r="BB81" s="291"/>
      <c r="BC81" s="291"/>
      <c r="BD81" s="291"/>
      <c r="BE81" s="291"/>
      <c r="BF81" s="291"/>
      <c r="BG81" s="291"/>
      <c r="BH81" s="291"/>
      <c r="BI81" s="291"/>
      <c r="BJ81" s="291"/>
      <c r="BK81" s="291"/>
      <c r="BL81" s="291"/>
      <c r="BM81" s="291"/>
      <c r="BN81" s="291"/>
      <c r="BO81" s="291"/>
      <c r="BP81" s="291"/>
      <c r="BQ81" s="291"/>
      <c r="BR81" s="291"/>
      <c r="CV81" s="137" t="s">
        <v>195</v>
      </c>
      <c r="CW81" s="138" t="s">
        <v>229</v>
      </c>
      <c r="CX81" s="138" t="s">
        <v>197</v>
      </c>
      <c r="CY81" s="139" t="s">
        <v>196</v>
      </c>
      <c r="CZ81" s="139" t="s">
        <v>228</v>
      </c>
      <c r="DA81" s="149">
        <v>250</v>
      </c>
      <c r="DB81" s="149">
        <v>300</v>
      </c>
    </row>
    <row r="82" spans="3:106" ht="12.75" customHeight="1">
      <c r="C82" s="140"/>
      <c r="D82" s="290"/>
      <c r="E82" s="290"/>
      <c r="F82" s="290"/>
      <c r="G82" s="290"/>
      <c r="H82" s="290"/>
      <c r="I82" s="290"/>
      <c r="J82" s="290"/>
      <c r="K82" s="292"/>
      <c r="L82" s="292"/>
      <c r="M82" s="291"/>
      <c r="N82" s="291"/>
      <c r="O82" s="291"/>
      <c r="P82" s="291"/>
      <c r="Q82" s="291"/>
      <c r="R82" s="291"/>
      <c r="S82" s="291"/>
      <c r="T82" s="291"/>
      <c r="U82" s="291"/>
      <c r="V82" s="291"/>
      <c r="W82" s="291"/>
      <c r="X82" s="291"/>
      <c r="Y82" s="291"/>
      <c r="Z82" s="291"/>
      <c r="AA82" s="291"/>
      <c r="AB82" s="291"/>
      <c r="AC82" s="291"/>
      <c r="AD82" s="291"/>
      <c r="AE82" s="291"/>
      <c r="AF82" s="292"/>
      <c r="AG82" s="292"/>
      <c r="AH82" s="292"/>
      <c r="AI82" s="292"/>
      <c r="AJ82" s="292"/>
      <c r="AK82" s="292"/>
      <c r="AL82" s="292"/>
      <c r="AM82" s="292"/>
      <c r="AN82" s="292"/>
      <c r="AO82" s="292"/>
      <c r="AP82" s="292"/>
      <c r="AQ82" s="292"/>
      <c r="AR82" s="292"/>
      <c r="AS82" s="292"/>
      <c r="AT82" s="292"/>
      <c r="AU82" s="292"/>
      <c r="AV82" s="292"/>
      <c r="AX82" s="292"/>
      <c r="AY82" s="292"/>
      <c r="AZ82" s="291"/>
      <c r="BA82" s="291"/>
      <c r="BB82" s="291"/>
      <c r="BC82" s="291"/>
      <c r="BD82" s="291"/>
      <c r="BE82" s="291"/>
      <c r="BF82" s="291"/>
      <c r="BG82" s="291"/>
      <c r="BH82" s="291"/>
      <c r="BI82" s="291"/>
      <c r="BJ82" s="291"/>
      <c r="BK82" s="291"/>
      <c r="BL82" s="291"/>
      <c r="BM82" s="291"/>
      <c r="BN82" s="291"/>
      <c r="BO82" s="291"/>
      <c r="BP82" s="291"/>
      <c r="BQ82" s="291"/>
      <c r="BR82" s="291"/>
      <c r="CV82" s="137" t="s">
        <v>121</v>
      </c>
      <c r="CW82" s="138" t="s">
        <v>229</v>
      </c>
      <c r="CX82" s="138" t="s">
        <v>197</v>
      </c>
      <c r="CY82" s="139" t="s">
        <v>196</v>
      </c>
      <c r="CZ82" s="139" t="s">
        <v>228</v>
      </c>
      <c r="DA82" s="149">
        <v>250</v>
      </c>
      <c r="DB82" s="149">
        <v>300</v>
      </c>
    </row>
    <row r="83" spans="3:106" ht="12.75" customHeight="1">
      <c r="C83" s="147"/>
      <c r="D83" s="295"/>
      <c r="E83" s="295"/>
      <c r="F83" s="295"/>
      <c r="G83" s="295"/>
      <c r="H83" s="295"/>
      <c r="I83" s="295"/>
      <c r="J83" s="295"/>
      <c r="K83" s="294"/>
      <c r="L83" s="294"/>
      <c r="M83" s="293"/>
      <c r="N83" s="293"/>
      <c r="O83" s="293"/>
      <c r="P83" s="293"/>
      <c r="Q83" s="293"/>
      <c r="R83" s="293"/>
      <c r="S83" s="293"/>
      <c r="T83" s="293"/>
      <c r="U83" s="293"/>
      <c r="V83" s="293"/>
      <c r="W83" s="293"/>
      <c r="X83" s="293"/>
      <c r="Y83" s="293"/>
      <c r="Z83" s="293"/>
      <c r="AA83" s="293"/>
      <c r="AB83" s="293"/>
      <c r="AC83" s="293"/>
      <c r="AD83" s="293"/>
      <c r="AE83" s="293"/>
      <c r="AF83" s="294"/>
      <c r="AG83" s="294"/>
      <c r="AH83" s="294"/>
      <c r="AI83" s="294"/>
      <c r="AJ83" s="294"/>
      <c r="AK83" s="294"/>
      <c r="AL83" s="294"/>
      <c r="AM83" s="294"/>
      <c r="AN83" s="294"/>
      <c r="AO83" s="294"/>
      <c r="AP83" s="294"/>
      <c r="AQ83" s="294"/>
      <c r="AR83" s="294"/>
      <c r="AS83" s="294"/>
      <c r="AT83" s="294"/>
      <c r="AU83" s="294"/>
      <c r="AV83" s="294"/>
      <c r="AX83" s="294"/>
      <c r="AY83" s="294"/>
      <c r="AZ83" s="293"/>
      <c r="BA83" s="293"/>
      <c r="BB83" s="293"/>
      <c r="BC83" s="293"/>
      <c r="BD83" s="293"/>
      <c r="BE83" s="293"/>
      <c r="BF83" s="293"/>
      <c r="BG83" s="293"/>
      <c r="BH83" s="293"/>
      <c r="BI83" s="293"/>
      <c r="BJ83" s="293"/>
      <c r="BK83" s="293"/>
      <c r="BL83" s="293"/>
      <c r="BM83" s="293"/>
      <c r="BN83" s="293"/>
      <c r="BO83" s="293"/>
      <c r="BP83" s="293"/>
      <c r="BQ83" s="293"/>
      <c r="BR83" s="293"/>
      <c r="CV83" s="137" t="s">
        <v>198</v>
      </c>
      <c r="CW83" s="138" t="s">
        <v>217</v>
      </c>
      <c r="CX83" s="138" t="s">
        <v>218</v>
      </c>
      <c r="CY83" s="139" t="s">
        <v>143</v>
      </c>
      <c r="CZ83" s="139" t="s">
        <v>199</v>
      </c>
      <c r="DA83" s="139" t="s">
        <v>200</v>
      </c>
      <c r="DB83" s="139" t="s">
        <v>153</v>
      </c>
    </row>
    <row r="84" spans="3:106" ht="12.75" customHeight="1">
      <c r="C84" s="147"/>
      <c r="D84" s="295"/>
      <c r="E84" s="295"/>
      <c r="F84" s="295"/>
      <c r="G84" s="295"/>
      <c r="H84" s="295"/>
      <c r="I84" s="295"/>
      <c r="J84" s="295"/>
      <c r="K84" s="294"/>
      <c r="L84" s="294"/>
      <c r="M84" s="293"/>
      <c r="N84" s="293"/>
      <c r="O84" s="293"/>
      <c r="P84" s="293"/>
      <c r="Q84" s="293"/>
      <c r="R84" s="293"/>
      <c r="S84" s="293"/>
      <c r="T84" s="293"/>
      <c r="U84" s="293"/>
      <c r="V84" s="293"/>
      <c r="W84" s="293"/>
      <c r="X84" s="293"/>
      <c r="Y84" s="293"/>
      <c r="Z84" s="293"/>
      <c r="AA84" s="293"/>
      <c r="AB84" s="293"/>
      <c r="AC84" s="293"/>
      <c r="AD84" s="293"/>
      <c r="AE84" s="293"/>
      <c r="AF84" s="294"/>
      <c r="AG84" s="294"/>
      <c r="AH84" s="294"/>
      <c r="AI84" s="294"/>
      <c r="AJ84" s="294"/>
      <c r="AK84" s="294"/>
      <c r="AL84" s="294"/>
      <c r="AM84" s="294"/>
      <c r="AN84" s="294"/>
      <c r="AO84" s="294"/>
      <c r="AP84" s="294"/>
      <c r="AQ84" s="294"/>
      <c r="AR84" s="294"/>
      <c r="AS84" s="294"/>
      <c r="AT84" s="294"/>
      <c r="AU84" s="294"/>
      <c r="AV84" s="294"/>
      <c r="AX84" s="294"/>
      <c r="AY84" s="294"/>
      <c r="AZ84" s="293"/>
      <c r="BA84" s="293"/>
      <c r="BB84" s="293"/>
      <c r="BC84" s="293"/>
      <c r="BD84" s="293"/>
      <c r="BE84" s="293"/>
      <c r="BF84" s="293"/>
      <c r="BG84" s="293"/>
      <c r="BH84" s="293"/>
      <c r="BI84" s="293"/>
      <c r="BJ84" s="293"/>
      <c r="BK84" s="293"/>
      <c r="BL84" s="293"/>
      <c r="BM84" s="293"/>
      <c r="BN84" s="293"/>
      <c r="BO84" s="293"/>
      <c r="BP84" s="293"/>
      <c r="BQ84" s="293"/>
      <c r="BR84" s="293"/>
      <c r="CV84" s="141" t="s">
        <v>201</v>
      </c>
      <c r="CW84" s="142" t="s">
        <v>217</v>
      </c>
      <c r="CX84" s="142" t="s">
        <v>218</v>
      </c>
      <c r="CY84" s="143" t="s">
        <v>143</v>
      </c>
      <c r="CZ84" s="143" t="s">
        <v>202</v>
      </c>
      <c r="DA84" s="143" t="s">
        <v>203</v>
      </c>
      <c r="DB84" s="143" t="s">
        <v>137</v>
      </c>
    </row>
    <row r="85" spans="3:106" ht="12.75" customHeight="1">
      <c r="C85" s="140"/>
      <c r="D85" s="290"/>
      <c r="E85" s="290"/>
      <c r="F85" s="290"/>
      <c r="G85" s="290"/>
      <c r="H85" s="290"/>
      <c r="I85" s="290"/>
      <c r="J85" s="290"/>
      <c r="K85" s="292"/>
      <c r="L85" s="292"/>
      <c r="M85" s="291"/>
      <c r="N85" s="291"/>
      <c r="O85" s="291"/>
      <c r="P85" s="291"/>
      <c r="Q85" s="291"/>
      <c r="R85" s="291"/>
      <c r="S85" s="291"/>
      <c r="T85" s="292"/>
      <c r="U85" s="292"/>
      <c r="V85" s="292"/>
      <c r="W85" s="291"/>
      <c r="X85" s="291"/>
      <c r="Y85" s="291"/>
      <c r="Z85" s="292"/>
      <c r="AA85" s="292"/>
      <c r="AB85" s="292"/>
      <c r="AC85" s="291"/>
      <c r="AD85" s="291"/>
      <c r="AE85" s="291"/>
      <c r="AF85" s="292"/>
      <c r="AG85" s="292"/>
      <c r="AH85" s="292"/>
      <c r="AI85" s="292"/>
      <c r="AJ85" s="292"/>
      <c r="AK85" s="292"/>
      <c r="AL85" s="292"/>
      <c r="AM85" s="292"/>
      <c r="AN85" s="292"/>
      <c r="AO85" s="292"/>
      <c r="AP85" s="292"/>
      <c r="AQ85" s="292"/>
      <c r="AR85" s="292"/>
      <c r="AS85" s="292"/>
      <c r="AT85" s="292"/>
      <c r="AU85" s="292"/>
      <c r="AV85" s="292"/>
      <c r="AX85" s="292"/>
      <c r="AY85" s="292"/>
      <c r="AZ85" s="291"/>
      <c r="BA85" s="291"/>
      <c r="BB85" s="291"/>
      <c r="BC85" s="291"/>
      <c r="BD85" s="291"/>
      <c r="BE85" s="291"/>
      <c r="BF85" s="291"/>
      <c r="BG85" s="291"/>
      <c r="BH85" s="291"/>
      <c r="BI85" s="291"/>
      <c r="BJ85" s="291"/>
      <c r="BK85" s="291"/>
      <c r="BL85" s="291"/>
      <c r="BM85" s="292"/>
      <c r="BN85" s="292"/>
      <c r="BO85" s="292"/>
      <c r="BP85" s="292"/>
      <c r="BQ85" s="292"/>
      <c r="BR85" s="292"/>
      <c r="CV85" s="137" t="s">
        <v>114</v>
      </c>
      <c r="CW85" s="138" t="s">
        <v>230</v>
      </c>
      <c r="CX85" s="138" t="s">
        <v>144</v>
      </c>
      <c r="CY85" s="139" t="s">
        <v>157</v>
      </c>
      <c r="CZ85" s="139" t="s">
        <v>105</v>
      </c>
      <c r="DA85" s="139" t="s">
        <v>152</v>
      </c>
      <c r="DB85" s="139" t="s">
        <v>153</v>
      </c>
    </row>
    <row r="86" spans="3:106" ht="12.75" customHeight="1">
      <c r="C86" s="140"/>
      <c r="D86" s="290"/>
      <c r="E86" s="290"/>
      <c r="F86" s="290"/>
      <c r="G86" s="290"/>
      <c r="H86" s="290"/>
      <c r="I86" s="290"/>
      <c r="J86" s="290"/>
      <c r="K86" s="292"/>
      <c r="L86" s="292"/>
      <c r="M86" s="291"/>
      <c r="N86" s="291"/>
      <c r="O86" s="291"/>
      <c r="P86" s="291"/>
      <c r="Q86" s="291"/>
      <c r="R86" s="291"/>
      <c r="S86" s="291"/>
      <c r="T86" s="292"/>
      <c r="U86" s="292"/>
      <c r="V86" s="292"/>
      <c r="W86" s="291"/>
      <c r="X86" s="291"/>
      <c r="Y86" s="291"/>
      <c r="Z86" s="292"/>
      <c r="AA86" s="292"/>
      <c r="AB86" s="292"/>
      <c r="AC86" s="291"/>
      <c r="AD86" s="291"/>
      <c r="AE86" s="291"/>
      <c r="AF86" s="292"/>
      <c r="AG86" s="292"/>
      <c r="AH86" s="292"/>
      <c r="AI86" s="292"/>
      <c r="AJ86" s="292"/>
      <c r="AK86" s="292"/>
      <c r="AL86" s="292"/>
      <c r="AM86" s="292"/>
      <c r="AN86" s="292"/>
      <c r="AO86" s="292"/>
      <c r="AP86" s="292"/>
      <c r="AQ86" s="292"/>
      <c r="AR86" s="292"/>
      <c r="AS86" s="292"/>
      <c r="AT86" s="292"/>
      <c r="AU86" s="292"/>
      <c r="AV86" s="292"/>
      <c r="AX86" s="292"/>
      <c r="AY86" s="292"/>
      <c r="AZ86" s="291"/>
      <c r="BA86" s="291"/>
      <c r="BB86" s="291"/>
      <c r="BC86" s="291"/>
      <c r="BD86" s="291"/>
      <c r="BE86" s="291"/>
      <c r="BF86" s="291"/>
      <c r="BG86" s="291"/>
      <c r="BH86" s="291"/>
      <c r="BI86" s="291"/>
      <c r="BJ86" s="291"/>
      <c r="BK86" s="291"/>
      <c r="BL86" s="291"/>
      <c r="BM86" s="292"/>
      <c r="BN86" s="292"/>
      <c r="BO86" s="292"/>
      <c r="BP86" s="292"/>
      <c r="BQ86" s="292"/>
      <c r="BR86" s="292"/>
      <c r="CV86" s="144" t="s">
        <v>231</v>
      </c>
      <c r="CW86" s="145" t="s">
        <v>208</v>
      </c>
      <c r="CX86" s="145" t="s">
        <v>217</v>
      </c>
      <c r="CY86" s="146" t="s">
        <v>143</v>
      </c>
      <c r="CZ86" s="146" t="s">
        <v>204</v>
      </c>
      <c r="DA86" s="146" t="s">
        <v>162</v>
      </c>
      <c r="DB86" s="146" t="s">
        <v>153</v>
      </c>
    </row>
    <row r="87" spans="3:106" ht="12.75" customHeight="1">
      <c r="C87" s="140"/>
      <c r="D87" s="290"/>
      <c r="E87" s="290"/>
      <c r="F87" s="290"/>
      <c r="G87" s="290"/>
      <c r="H87" s="290"/>
      <c r="I87" s="290"/>
      <c r="J87" s="290"/>
      <c r="K87" s="292"/>
      <c r="L87" s="292"/>
      <c r="M87" s="291"/>
      <c r="N87" s="291"/>
      <c r="O87" s="291"/>
      <c r="P87" s="291"/>
      <c r="Q87" s="291"/>
      <c r="R87" s="291"/>
      <c r="S87" s="291"/>
      <c r="T87" s="291"/>
      <c r="U87" s="291"/>
      <c r="V87" s="291"/>
      <c r="W87" s="291"/>
      <c r="X87" s="291"/>
      <c r="Y87" s="291"/>
      <c r="Z87" s="291"/>
      <c r="AA87" s="291"/>
      <c r="AB87" s="291"/>
      <c r="AC87" s="291"/>
      <c r="AD87" s="291"/>
      <c r="AE87" s="291"/>
      <c r="AF87" s="292"/>
      <c r="AG87" s="292"/>
      <c r="AH87" s="292"/>
      <c r="AI87" s="292"/>
      <c r="AJ87" s="292"/>
      <c r="AK87" s="292"/>
      <c r="AL87" s="292"/>
      <c r="AM87" s="292"/>
      <c r="AN87" s="292"/>
      <c r="AO87" s="292"/>
      <c r="AP87" s="292"/>
      <c r="AQ87" s="292"/>
      <c r="AR87" s="292"/>
      <c r="AS87" s="292"/>
      <c r="AT87" s="292"/>
      <c r="AU87" s="292"/>
      <c r="AV87" s="292"/>
      <c r="AX87" s="292"/>
      <c r="AY87" s="292"/>
      <c r="AZ87" s="291"/>
      <c r="BA87" s="291"/>
      <c r="BB87" s="291"/>
      <c r="BC87" s="291"/>
      <c r="BD87" s="291"/>
      <c r="BE87" s="291"/>
      <c r="BF87" s="291"/>
      <c r="BG87" s="291"/>
      <c r="BH87" s="291"/>
      <c r="BI87" s="291"/>
      <c r="BJ87" s="291"/>
      <c r="BK87" s="291"/>
      <c r="BL87" s="291"/>
      <c r="BM87" s="291"/>
      <c r="BN87" s="291"/>
      <c r="BO87" s="291"/>
      <c r="BP87" s="291"/>
      <c r="BQ87" s="291"/>
      <c r="BR87" s="291"/>
      <c r="CV87" s="144" t="s">
        <v>205</v>
      </c>
      <c r="CW87" s="145" t="s">
        <v>208</v>
      </c>
      <c r="CX87" s="145" t="s">
        <v>217</v>
      </c>
      <c r="CY87" s="146" t="s">
        <v>143</v>
      </c>
      <c r="CZ87" s="146" t="s">
        <v>204</v>
      </c>
      <c r="DA87" s="146" t="s">
        <v>162</v>
      </c>
      <c r="DB87" s="146" t="s">
        <v>153</v>
      </c>
    </row>
    <row r="88" spans="3:106" ht="12.75" customHeight="1">
      <c r="C88" s="147"/>
      <c r="D88" s="295"/>
      <c r="E88" s="295"/>
      <c r="F88" s="295"/>
      <c r="G88" s="295"/>
      <c r="H88" s="295"/>
      <c r="I88" s="295"/>
      <c r="J88" s="295"/>
      <c r="K88" s="294"/>
      <c r="L88" s="294"/>
      <c r="M88" s="293"/>
      <c r="N88" s="293"/>
      <c r="O88" s="293"/>
      <c r="P88" s="293"/>
      <c r="Q88" s="293"/>
      <c r="R88" s="293"/>
      <c r="S88" s="293"/>
      <c r="T88" s="293"/>
      <c r="U88" s="293"/>
      <c r="V88" s="293"/>
      <c r="W88" s="293"/>
      <c r="X88" s="293"/>
      <c r="Y88" s="293"/>
      <c r="Z88" s="293"/>
      <c r="AA88" s="293"/>
      <c r="AB88" s="293"/>
      <c r="AC88" s="293"/>
      <c r="AD88" s="293"/>
      <c r="AE88" s="293"/>
      <c r="AF88" s="294"/>
      <c r="AG88" s="294"/>
      <c r="AH88" s="294"/>
      <c r="AI88" s="294"/>
      <c r="AJ88" s="294"/>
      <c r="AK88" s="294"/>
      <c r="AL88" s="294"/>
      <c r="AM88" s="294"/>
      <c r="AN88" s="294"/>
      <c r="AO88" s="294"/>
      <c r="AP88" s="294"/>
      <c r="AQ88" s="294"/>
      <c r="AR88" s="294"/>
      <c r="AS88" s="294"/>
      <c r="AT88" s="294"/>
      <c r="AU88" s="294"/>
      <c r="AV88" s="294"/>
      <c r="AX88" s="294"/>
      <c r="AY88" s="294"/>
      <c r="AZ88" s="293"/>
      <c r="BA88" s="293"/>
      <c r="BB88" s="293"/>
      <c r="BC88" s="293"/>
      <c r="BD88" s="293"/>
      <c r="BE88" s="293"/>
      <c r="BF88" s="293"/>
      <c r="BG88" s="293"/>
      <c r="BH88" s="293"/>
      <c r="BI88" s="293"/>
      <c r="BJ88" s="293"/>
      <c r="BK88" s="293"/>
      <c r="BL88" s="293"/>
      <c r="BM88" s="293"/>
      <c r="BN88" s="293"/>
      <c r="BO88" s="293"/>
      <c r="BP88" s="293"/>
      <c r="BQ88" s="293"/>
      <c r="BR88" s="293"/>
      <c r="CV88" s="137" t="s">
        <v>123</v>
      </c>
      <c r="CW88" s="138" t="s">
        <v>217</v>
      </c>
      <c r="CX88" s="138" t="s">
        <v>218</v>
      </c>
      <c r="CY88" s="139" t="s">
        <v>143</v>
      </c>
      <c r="CZ88" s="139" t="s">
        <v>105</v>
      </c>
      <c r="DA88" s="139" t="s">
        <v>152</v>
      </c>
      <c r="DB88" s="139" t="s">
        <v>153</v>
      </c>
    </row>
    <row r="89" spans="3:106" ht="12.75" customHeight="1">
      <c r="C89" s="140"/>
      <c r="D89" s="290"/>
      <c r="E89" s="290"/>
      <c r="F89" s="290"/>
      <c r="G89" s="290"/>
      <c r="H89" s="290"/>
      <c r="I89" s="290"/>
      <c r="J89" s="290"/>
      <c r="K89" s="292"/>
      <c r="L89" s="292"/>
      <c r="M89" s="291"/>
      <c r="N89" s="291"/>
      <c r="O89" s="291"/>
      <c r="P89" s="291"/>
      <c r="Q89" s="291"/>
      <c r="R89" s="291"/>
      <c r="S89" s="291"/>
      <c r="T89" s="291"/>
      <c r="U89" s="291"/>
      <c r="V89" s="291"/>
      <c r="W89" s="291"/>
      <c r="X89" s="291"/>
      <c r="Y89" s="291"/>
      <c r="Z89" s="291"/>
      <c r="AA89" s="291"/>
      <c r="AB89" s="291"/>
      <c r="AC89" s="291"/>
      <c r="AD89" s="291"/>
      <c r="AE89" s="291"/>
      <c r="AF89" s="292"/>
      <c r="AG89" s="292"/>
      <c r="AH89" s="292"/>
      <c r="AI89" s="292"/>
      <c r="AJ89" s="292"/>
      <c r="AK89" s="292"/>
      <c r="AL89" s="292"/>
      <c r="AM89" s="292"/>
      <c r="AN89" s="292"/>
      <c r="AO89" s="292"/>
      <c r="AP89" s="292"/>
      <c r="AQ89" s="292"/>
      <c r="AR89" s="292"/>
      <c r="AS89" s="292"/>
      <c r="AT89" s="292"/>
      <c r="AU89" s="292"/>
      <c r="AV89" s="292"/>
      <c r="AX89" s="292"/>
      <c r="AY89" s="292"/>
      <c r="AZ89" s="291"/>
      <c r="BA89" s="291"/>
      <c r="BB89" s="291"/>
      <c r="BC89" s="291"/>
      <c r="BD89" s="291"/>
      <c r="BE89" s="291"/>
      <c r="BF89" s="291"/>
      <c r="BG89" s="291"/>
      <c r="BH89" s="291"/>
      <c r="BI89" s="291"/>
      <c r="BJ89" s="291"/>
      <c r="BK89" s="291"/>
      <c r="BL89" s="291"/>
      <c r="BM89" s="291"/>
      <c r="BN89" s="291"/>
      <c r="BO89" s="291"/>
      <c r="BP89" s="291"/>
      <c r="BQ89" s="291"/>
      <c r="BR89" s="291"/>
    </row>
    <row r="90" spans="3:106" ht="12.75" customHeight="1">
      <c r="C90" s="140"/>
      <c r="D90" s="290"/>
      <c r="E90" s="290"/>
      <c r="F90" s="290"/>
      <c r="G90" s="290"/>
      <c r="H90" s="290"/>
      <c r="I90" s="290"/>
      <c r="J90" s="290"/>
      <c r="K90" s="288"/>
      <c r="L90" s="288"/>
      <c r="M90" s="289"/>
      <c r="N90" s="289"/>
      <c r="O90" s="289"/>
      <c r="P90" s="289"/>
      <c r="Q90" s="289"/>
      <c r="R90" s="289"/>
      <c r="S90" s="289"/>
      <c r="T90" s="289"/>
      <c r="U90" s="289"/>
      <c r="V90" s="289"/>
      <c r="W90" s="289"/>
      <c r="X90" s="289"/>
      <c r="Y90" s="289"/>
      <c r="Z90" s="289"/>
      <c r="AA90" s="289"/>
      <c r="AB90" s="289"/>
      <c r="AC90" s="289"/>
      <c r="AD90" s="289"/>
      <c r="AE90" s="289"/>
      <c r="AF90" s="288"/>
      <c r="AG90" s="288"/>
      <c r="AH90" s="288"/>
      <c r="AI90" s="288"/>
      <c r="AJ90" s="288"/>
      <c r="AK90" s="288"/>
      <c r="AL90" s="288"/>
      <c r="AM90" s="288"/>
      <c r="AN90" s="288"/>
      <c r="AO90" s="288"/>
      <c r="AP90" s="288"/>
      <c r="AQ90" s="288"/>
      <c r="AR90" s="288"/>
      <c r="AS90" s="288"/>
      <c r="AT90" s="288"/>
      <c r="AU90" s="288"/>
      <c r="AV90" s="288"/>
      <c r="AX90" s="288"/>
      <c r="AY90" s="288"/>
      <c r="AZ90" s="289"/>
      <c r="BA90" s="289"/>
      <c r="BB90" s="289"/>
      <c r="BC90" s="289"/>
      <c r="BD90" s="289"/>
      <c r="BE90" s="289"/>
      <c r="BF90" s="289"/>
      <c r="BG90" s="289"/>
      <c r="BH90" s="289"/>
      <c r="BI90" s="289"/>
      <c r="BJ90" s="289"/>
      <c r="BK90" s="289"/>
      <c r="BL90" s="289"/>
      <c r="BM90" s="289"/>
      <c r="BN90" s="289"/>
      <c r="BO90" s="289"/>
      <c r="BP90" s="289"/>
      <c r="BQ90" s="289"/>
      <c r="BR90" s="289"/>
    </row>
    <row r="91" spans="3:106" ht="12.75" customHeight="1">
      <c r="C91" s="148"/>
      <c r="D91" s="290"/>
      <c r="E91" s="290"/>
      <c r="F91" s="290"/>
      <c r="G91" s="290"/>
      <c r="H91" s="290"/>
      <c r="I91" s="290"/>
      <c r="J91" s="290"/>
      <c r="K91" s="288"/>
      <c r="L91" s="288"/>
      <c r="M91" s="289"/>
      <c r="N91" s="289"/>
      <c r="O91" s="289"/>
      <c r="P91" s="289"/>
      <c r="Q91" s="289"/>
      <c r="R91" s="289"/>
      <c r="S91" s="289"/>
      <c r="T91" s="289"/>
      <c r="U91" s="289"/>
      <c r="V91" s="289"/>
      <c r="W91" s="289"/>
      <c r="X91" s="289"/>
      <c r="Y91" s="289"/>
      <c r="Z91" s="289"/>
      <c r="AA91" s="289"/>
      <c r="AB91" s="289"/>
      <c r="AC91" s="289"/>
      <c r="AD91" s="289"/>
      <c r="AE91" s="289"/>
      <c r="AF91" s="288"/>
      <c r="AG91" s="288"/>
      <c r="AH91" s="288"/>
      <c r="AI91" s="288"/>
      <c r="AJ91" s="288"/>
      <c r="AK91" s="288"/>
      <c r="AL91" s="288"/>
      <c r="AM91" s="288"/>
      <c r="AN91" s="288"/>
      <c r="AO91" s="288"/>
      <c r="AP91" s="288"/>
      <c r="AQ91" s="288"/>
      <c r="AR91" s="288"/>
      <c r="AS91" s="288"/>
      <c r="AT91" s="288"/>
      <c r="AU91" s="288"/>
      <c r="AV91" s="288"/>
      <c r="AX91" s="288"/>
      <c r="AY91" s="288"/>
      <c r="AZ91" s="289"/>
      <c r="BA91" s="289"/>
      <c r="BB91" s="289"/>
      <c r="BC91" s="289"/>
      <c r="BD91" s="289"/>
      <c r="BE91" s="289"/>
      <c r="BF91" s="289"/>
      <c r="BG91" s="289"/>
      <c r="BH91" s="289"/>
      <c r="BI91" s="289"/>
      <c r="BJ91" s="289"/>
      <c r="BK91" s="289"/>
      <c r="BL91" s="289"/>
      <c r="BM91" s="289"/>
      <c r="BN91" s="289"/>
      <c r="BO91" s="289"/>
      <c r="BP91" s="289"/>
      <c r="BQ91" s="289"/>
      <c r="BR91" s="289"/>
    </row>
    <row r="92" spans="3:106" ht="12.75" customHeight="1">
      <c r="C92" s="140"/>
      <c r="D92" s="290"/>
      <c r="E92" s="290"/>
      <c r="F92" s="290"/>
      <c r="G92" s="290"/>
      <c r="H92" s="290"/>
      <c r="I92" s="290"/>
      <c r="J92" s="290"/>
      <c r="K92" s="292"/>
      <c r="L92" s="292"/>
      <c r="M92" s="291"/>
      <c r="N92" s="291"/>
      <c r="O92" s="291"/>
      <c r="P92" s="291"/>
      <c r="Q92" s="291"/>
      <c r="R92" s="291"/>
      <c r="S92" s="291"/>
      <c r="T92" s="291"/>
      <c r="U92" s="291"/>
      <c r="V92" s="291"/>
      <c r="W92" s="291"/>
      <c r="X92" s="291"/>
      <c r="Y92" s="291"/>
      <c r="Z92" s="291"/>
      <c r="AA92" s="291"/>
      <c r="AB92" s="291"/>
      <c r="AC92" s="291"/>
      <c r="AD92" s="291"/>
      <c r="AE92" s="291"/>
      <c r="AF92" s="288"/>
      <c r="AG92" s="288"/>
      <c r="AH92" s="288"/>
      <c r="AI92" s="288"/>
      <c r="AJ92" s="292"/>
      <c r="AK92" s="292"/>
      <c r="AL92" s="292"/>
      <c r="AM92" s="292"/>
      <c r="AN92" s="292"/>
      <c r="AO92" s="292"/>
      <c r="AP92" s="292"/>
      <c r="AQ92" s="292"/>
      <c r="AR92" s="292"/>
      <c r="AS92" s="292"/>
      <c r="AT92" s="292"/>
      <c r="AU92" s="292"/>
      <c r="AV92" s="292"/>
      <c r="AX92" s="292"/>
      <c r="AY92" s="292"/>
      <c r="AZ92" s="291"/>
      <c r="BA92" s="291"/>
      <c r="BB92" s="291"/>
      <c r="BC92" s="291"/>
      <c r="BD92" s="291"/>
      <c r="BE92" s="291"/>
      <c r="BF92" s="291"/>
      <c r="BG92" s="291"/>
      <c r="BH92" s="291"/>
      <c r="BI92" s="291"/>
      <c r="BJ92" s="291"/>
      <c r="BK92" s="291"/>
      <c r="BL92" s="291"/>
      <c r="BM92" s="291"/>
      <c r="BN92" s="291"/>
      <c r="BO92" s="291"/>
      <c r="BP92" s="291"/>
      <c r="BQ92" s="291"/>
      <c r="BR92" s="291"/>
    </row>
    <row r="175" spans="9:37" ht="12.75" customHeight="1">
      <c r="I175" s="89"/>
      <c r="AK175" s="90"/>
    </row>
    <row r="176" spans="9:37" ht="12.75" customHeight="1">
      <c r="I176" s="89"/>
      <c r="AK176" s="90"/>
    </row>
    <row r="177" spans="9:37" ht="12.75" customHeight="1">
      <c r="I177" s="89"/>
      <c r="AK177" s="90"/>
    </row>
    <row r="178" spans="9:37" ht="12.75" customHeight="1">
      <c r="I178" s="89"/>
      <c r="AK178" s="90"/>
    </row>
    <row r="179" spans="9:37" ht="12.75" customHeight="1">
      <c r="I179" s="89"/>
      <c r="AK179" s="90"/>
    </row>
    <row r="180" spans="9:37" ht="12.75" customHeight="1">
      <c r="I180" s="89"/>
      <c r="AK180" s="90"/>
    </row>
    <row r="181" spans="9:37" ht="12.75" customHeight="1">
      <c r="I181" s="89"/>
      <c r="AK181" s="90"/>
    </row>
    <row r="182" spans="9:37" ht="12.75" customHeight="1">
      <c r="I182" s="91"/>
      <c r="J182" s="92"/>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3"/>
    </row>
  </sheetData>
  <customSheetViews>
    <customSheetView guid="{8E8F94B8-32E0-4E0F-AFA7-579F1B47CB3E}" scale="115" showPageBreaks="1" fitToPage="1" printArea="1" state="hidden" view="pageBreakPreview" topLeftCell="A4">
      <selection activeCell="BP20" sqref="BP20:BS20"/>
      <pageMargins left="0.19685039370078741" right="0.19685039370078741" top="0.19685039370078741" bottom="0.19685039370078741" header="7.874015748031496E-2" footer="7.874015748031496E-2"/>
      <pageSetup paperSize="8" scale="95" fitToHeight="0" orientation="landscape" r:id="rId1"/>
      <headerFooter alignWithMargins="0"/>
    </customSheetView>
    <customSheetView guid="{CBF53F97-ED2F-4FF6-AB07-39F040F3005A}" showPageBreaks="1" fitToPage="1" printArea="1" view="pageBreakPreview">
      <selection activeCell="CL21" sqref="CL21:CN24"/>
      <pageMargins left="0.2" right="0.2" top="0.5" bottom="0.5" header="0.3" footer="0.3"/>
      <printOptions horizontalCentered="1" verticalCentered="1"/>
      <pageSetup paperSize="8" scale="87" orientation="landscape" r:id="rId2"/>
    </customSheetView>
    <customSheetView guid="{14464C38-68B9-4188-97D7-7378D773AFD5}" showPageBreaks="1" fitToPage="1" printArea="1" view="pageBreakPreview" topLeftCell="A3">
      <selection activeCell="A6" sqref="A6:B6"/>
      <pageMargins left="0.2" right="0.2" top="0.5" bottom="0.5" header="0.3" footer="0.3"/>
      <printOptions horizontalCentered="1" verticalCentered="1"/>
      <pageSetup paperSize="8" scale="87" orientation="landscape" r:id="rId3"/>
    </customSheetView>
    <customSheetView guid="{9B10B627-434C-4F46-A642-4F5EA1395AB4}" showPageBreaks="1" fitToPage="1" printArea="1" view="pageBreakPreview">
      <selection activeCell="M6" sqref="M6:P24"/>
      <pageMargins left="0.2" right="0.2" top="0.5" bottom="0.5" header="0.3" footer="0.3"/>
      <printOptions horizontalCentered="1" verticalCentered="1"/>
      <pageSetup paperSize="8" scale="87" orientation="landscape" r:id="rId4"/>
    </customSheetView>
    <customSheetView guid="{65692F4D-A6F4-4F51-A6D0-4E4EC15EED11}" showPageBreaks="1" fitToPage="1" printArea="1" view="pageBreakPreview">
      <selection activeCell="BB29" sqref="BB29:BC29"/>
      <pageMargins left="0.2" right="0.2" top="0.5" bottom="0.5" header="0.3" footer="0.3"/>
      <printOptions horizontalCentered="1" verticalCentered="1"/>
      <pageSetup paperSize="8" scale="87" orientation="landscape" r:id="rId5"/>
    </customSheetView>
    <customSheetView guid="{4B2152C0-165D-47F1-8933-57B3261F1379}" scale="115" showPageBreaks="1" fitToPage="1" printArea="1" state="hidden" view="pageBreakPreview" topLeftCell="A4">
      <selection activeCell="BP20" sqref="BP20:BS20"/>
      <pageMargins left="0.19685039370078741" right="0.19685039370078741" top="0.19685039370078741" bottom="0.19685039370078741" header="7.874015748031496E-2" footer="7.874015748031496E-2"/>
      <pageSetup paperSize="8" scale="95" fitToHeight="0" orientation="landscape" r:id="rId6"/>
      <headerFooter alignWithMargins="0"/>
    </customSheetView>
    <customSheetView guid="{9313348B-AF43-459E-B141-13E53440B183}" scale="115" showPageBreaks="1" fitToPage="1" printArea="1" state="hidden" view="pageBreakPreview" topLeftCell="A4">
      <selection activeCell="BP20" sqref="BP20:BS20"/>
      <pageMargins left="0.19685039370078741" right="0.19685039370078741" top="0.19685039370078741" bottom="0.19685039370078741" header="7.874015748031496E-2" footer="7.874015748031496E-2"/>
      <pageSetup paperSize="8" scale="95" fitToHeight="0" orientation="landscape" r:id="rId7"/>
      <headerFooter alignWithMargins="0"/>
    </customSheetView>
  </customSheetViews>
  <mergeCells count="1384">
    <mergeCell ref="CA13:CK13"/>
    <mergeCell ref="CA14:CK14"/>
    <mergeCell ref="CA15:CK15"/>
    <mergeCell ref="CA16:CK16"/>
    <mergeCell ref="CA17:CK17"/>
    <mergeCell ref="CA18:CK18"/>
    <mergeCell ref="CA19:CK19"/>
    <mergeCell ref="CA20:CK20"/>
    <mergeCell ref="CA21:CK21"/>
    <mergeCell ref="CA22:CK22"/>
    <mergeCell ref="CA23:CK23"/>
    <mergeCell ref="CA24:CK24"/>
    <mergeCell ref="CA25:CK25"/>
    <mergeCell ref="CA26:CK26"/>
    <mergeCell ref="CA27:CK27"/>
    <mergeCell ref="CA28:CK28"/>
    <mergeCell ref="CA29:CK29"/>
    <mergeCell ref="CR6:CY6"/>
    <mergeCell ref="CR7:CY7"/>
    <mergeCell ref="CR8:CY8"/>
    <mergeCell ref="CR9:CY9"/>
    <mergeCell ref="CR10:CY10"/>
    <mergeCell ref="CA6:CK6"/>
    <mergeCell ref="CA7:CK7"/>
    <mergeCell ref="CA8:CK8"/>
    <mergeCell ref="CA9:CK9"/>
    <mergeCell ref="CA10:CK10"/>
    <mergeCell ref="CA11:CK11"/>
    <mergeCell ref="CA12:CK12"/>
    <mergeCell ref="BP88:BR88"/>
    <mergeCell ref="BP72:BR72"/>
    <mergeCell ref="BP73:BR73"/>
    <mergeCell ref="BP74:BR74"/>
    <mergeCell ref="BP75:BR75"/>
    <mergeCell ref="BP76:BR76"/>
    <mergeCell ref="BP77:BR77"/>
    <mergeCell ref="BP78:BR78"/>
    <mergeCell ref="BP79:BR79"/>
    <mergeCell ref="BP80:BR80"/>
    <mergeCell ref="BP81:BR81"/>
    <mergeCell ref="CF43:CH44"/>
    <mergeCell ref="CI43:CK44"/>
    <mergeCell ref="BL37:BP38"/>
    <mergeCell ref="CB37:CE37"/>
    <mergeCell ref="CF37:CH37"/>
    <mergeCell ref="CI37:CK37"/>
    <mergeCell ref="CB38:CE38"/>
    <mergeCell ref="CF38:CH38"/>
    <mergeCell ref="CI38:CK38"/>
    <mergeCell ref="BP89:BR89"/>
    <mergeCell ref="BP90:BR90"/>
    <mergeCell ref="BM73:BO73"/>
    <mergeCell ref="BM74:BO74"/>
    <mergeCell ref="BM75:BO75"/>
    <mergeCell ref="BM76:BO76"/>
    <mergeCell ref="BM77:BO77"/>
    <mergeCell ref="BM78:BO78"/>
    <mergeCell ref="BM79:BO79"/>
    <mergeCell ref="BM80:BO80"/>
    <mergeCell ref="BM81:BO81"/>
    <mergeCell ref="BM82:BO82"/>
    <mergeCell ref="BM83:BO83"/>
    <mergeCell ref="BM84:BO84"/>
    <mergeCell ref="BM85:BO85"/>
    <mergeCell ref="BM86:BO86"/>
    <mergeCell ref="BM87:BO87"/>
    <mergeCell ref="BP91:BR91"/>
    <mergeCell ref="BP92:BR92"/>
    <mergeCell ref="BM88:BO88"/>
    <mergeCell ref="BM89:BO89"/>
    <mergeCell ref="BM90:BO90"/>
    <mergeCell ref="BM91:BO91"/>
    <mergeCell ref="BM92:BO92"/>
    <mergeCell ref="BP55:BR55"/>
    <mergeCell ref="BP56:BR56"/>
    <mergeCell ref="BP57:BR57"/>
    <mergeCell ref="BP58:BR58"/>
    <mergeCell ref="BP59:BR59"/>
    <mergeCell ref="BP60:BR60"/>
    <mergeCell ref="BP61:BR61"/>
    <mergeCell ref="BP62:BR62"/>
    <mergeCell ref="BP63:BR63"/>
    <mergeCell ref="BP64:BR64"/>
    <mergeCell ref="BP65:BR65"/>
    <mergeCell ref="BP66:BR66"/>
    <mergeCell ref="BP67:BR67"/>
    <mergeCell ref="BP68:BR68"/>
    <mergeCell ref="BP69:BR69"/>
    <mergeCell ref="BP70:BR70"/>
    <mergeCell ref="BP71:BR71"/>
    <mergeCell ref="BP82:BR82"/>
    <mergeCell ref="BP83:BR83"/>
    <mergeCell ref="BP84:BR84"/>
    <mergeCell ref="BP85:BR85"/>
    <mergeCell ref="BP86:BR86"/>
    <mergeCell ref="BP87:BR87"/>
    <mergeCell ref="BM71:BO71"/>
    <mergeCell ref="BM72:BO72"/>
    <mergeCell ref="BI92:BL92"/>
    <mergeCell ref="BM55:BO55"/>
    <mergeCell ref="BM56:BO56"/>
    <mergeCell ref="BM57:BO57"/>
    <mergeCell ref="BM58:BO58"/>
    <mergeCell ref="BM59:BO59"/>
    <mergeCell ref="BM60:BO60"/>
    <mergeCell ref="BM61:BO61"/>
    <mergeCell ref="BM62:BO62"/>
    <mergeCell ref="BM63:BO63"/>
    <mergeCell ref="BM64:BO64"/>
    <mergeCell ref="BM65:BO65"/>
    <mergeCell ref="BM66:BO66"/>
    <mergeCell ref="BM67:BO67"/>
    <mergeCell ref="BM68:BO68"/>
    <mergeCell ref="BM69:BO69"/>
    <mergeCell ref="BM70:BO70"/>
    <mergeCell ref="BI77:BL77"/>
    <mergeCell ref="BI78:BL78"/>
    <mergeCell ref="BI79:BL79"/>
    <mergeCell ref="BI80:BL80"/>
    <mergeCell ref="BI81:BL81"/>
    <mergeCell ref="BI82:BL82"/>
    <mergeCell ref="BI83:BL83"/>
    <mergeCell ref="BI84:BL84"/>
    <mergeCell ref="BI85:BL85"/>
    <mergeCell ref="BI86:BL86"/>
    <mergeCell ref="BI87:BL87"/>
    <mergeCell ref="BI88:BL88"/>
    <mergeCell ref="BI89:BL89"/>
    <mergeCell ref="BI90:BL90"/>
    <mergeCell ref="BF84:BH84"/>
    <mergeCell ref="BF85:BH85"/>
    <mergeCell ref="BF86:BH86"/>
    <mergeCell ref="BF87:BH87"/>
    <mergeCell ref="BF88:BH88"/>
    <mergeCell ref="BF89:BH89"/>
    <mergeCell ref="BF90:BH90"/>
    <mergeCell ref="BF91:BH91"/>
    <mergeCell ref="BF92:BH92"/>
    <mergeCell ref="BI55:BL55"/>
    <mergeCell ref="BI56:BL56"/>
    <mergeCell ref="BI57:BL57"/>
    <mergeCell ref="BI58:BL58"/>
    <mergeCell ref="BI59:BL59"/>
    <mergeCell ref="BI60:BL60"/>
    <mergeCell ref="BI61:BL61"/>
    <mergeCell ref="BI62:BL62"/>
    <mergeCell ref="BI63:BL63"/>
    <mergeCell ref="BI64:BL64"/>
    <mergeCell ref="BI65:BL65"/>
    <mergeCell ref="BI66:BL66"/>
    <mergeCell ref="BI67:BL67"/>
    <mergeCell ref="BI68:BL68"/>
    <mergeCell ref="BI69:BL69"/>
    <mergeCell ref="BI70:BL70"/>
    <mergeCell ref="BI71:BL71"/>
    <mergeCell ref="BI72:BL72"/>
    <mergeCell ref="BI73:BL73"/>
    <mergeCell ref="BI74:BL74"/>
    <mergeCell ref="BI75:BL75"/>
    <mergeCell ref="BI76:BL76"/>
    <mergeCell ref="BI91:BL91"/>
    <mergeCell ref="BC90:BE90"/>
    <mergeCell ref="BC91:BE91"/>
    <mergeCell ref="BC92:BE92"/>
    <mergeCell ref="BF55:BH55"/>
    <mergeCell ref="BF56:BH56"/>
    <mergeCell ref="BF57:BH57"/>
    <mergeCell ref="BF58:BH58"/>
    <mergeCell ref="BF59:BH59"/>
    <mergeCell ref="BF60:BH60"/>
    <mergeCell ref="BF61:BH61"/>
    <mergeCell ref="BF62:BH62"/>
    <mergeCell ref="BF63:BH63"/>
    <mergeCell ref="BF64:BH64"/>
    <mergeCell ref="BF65:BH65"/>
    <mergeCell ref="BF66:BH66"/>
    <mergeCell ref="BF67:BH67"/>
    <mergeCell ref="BF68:BH68"/>
    <mergeCell ref="BF69:BH69"/>
    <mergeCell ref="BF70:BH70"/>
    <mergeCell ref="BF71:BH71"/>
    <mergeCell ref="BF72:BH72"/>
    <mergeCell ref="BF73:BH73"/>
    <mergeCell ref="BF74:BH74"/>
    <mergeCell ref="BF75:BH75"/>
    <mergeCell ref="BF76:BH76"/>
    <mergeCell ref="BF77:BH77"/>
    <mergeCell ref="BF78:BH78"/>
    <mergeCell ref="BF79:BH79"/>
    <mergeCell ref="BF80:BH80"/>
    <mergeCell ref="BF81:BH81"/>
    <mergeCell ref="BF82:BH82"/>
    <mergeCell ref="BF83:BH83"/>
    <mergeCell ref="BC73:BE73"/>
    <mergeCell ref="BC74:BE74"/>
    <mergeCell ref="BC75:BE75"/>
    <mergeCell ref="BC76:BE76"/>
    <mergeCell ref="BC77:BE77"/>
    <mergeCell ref="BC78:BE78"/>
    <mergeCell ref="BC79:BE79"/>
    <mergeCell ref="BC80:BE80"/>
    <mergeCell ref="BC81:BE81"/>
    <mergeCell ref="BC82:BE82"/>
    <mergeCell ref="BC83:BE83"/>
    <mergeCell ref="BC84:BE84"/>
    <mergeCell ref="BC85:BE85"/>
    <mergeCell ref="BC86:BE86"/>
    <mergeCell ref="BC87:BE87"/>
    <mergeCell ref="BC88:BE88"/>
    <mergeCell ref="BC89:BE89"/>
    <mergeCell ref="AZ79:BB79"/>
    <mergeCell ref="AZ80:BB80"/>
    <mergeCell ref="AZ81:BB81"/>
    <mergeCell ref="AZ82:BB82"/>
    <mergeCell ref="AZ83:BB83"/>
    <mergeCell ref="AZ84:BB84"/>
    <mergeCell ref="AZ85:BB85"/>
    <mergeCell ref="AZ86:BB86"/>
    <mergeCell ref="AZ87:BB87"/>
    <mergeCell ref="AZ88:BB88"/>
    <mergeCell ref="AZ89:BB89"/>
    <mergeCell ref="AZ90:BB90"/>
    <mergeCell ref="AZ91:BB91"/>
    <mergeCell ref="AZ92:BB92"/>
    <mergeCell ref="BC55:BE55"/>
    <mergeCell ref="BC56:BE56"/>
    <mergeCell ref="BC57:BE57"/>
    <mergeCell ref="BC58:BE58"/>
    <mergeCell ref="BC59:BE59"/>
    <mergeCell ref="BC60:BE60"/>
    <mergeCell ref="BC61:BE61"/>
    <mergeCell ref="BC62:BE62"/>
    <mergeCell ref="BC63:BE63"/>
    <mergeCell ref="BC64:BE64"/>
    <mergeCell ref="BC65:BE65"/>
    <mergeCell ref="BC66:BE66"/>
    <mergeCell ref="BC67:BE67"/>
    <mergeCell ref="BC68:BE68"/>
    <mergeCell ref="BC69:BE69"/>
    <mergeCell ref="BC70:BE70"/>
    <mergeCell ref="BC71:BE71"/>
    <mergeCell ref="BC72:BE72"/>
    <mergeCell ref="AX85:AY85"/>
    <mergeCell ref="AX86:AY86"/>
    <mergeCell ref="AX87:AY87"/>
    <mergeCell ref="AX88:AY88"/>
    <mergeCell ref="AX89:AY89"/>
    <mergeCell ref="AX90:AY90"/>
    <mergeCell ref="AX91:AY91"/>
    <mergeCell ref="AX92:AY92"/>
    <mergeCell ref="AZ55:BB55"/>
    <mergeCell ref="AZ56:BB56"/>
    <mergeCell ref="AZ57:BB57"/>
    <mergeCell ref="AZ58:BB58"/>
    <mergeCell ref="AZ59:BB59"/>
    <mergeCell ref="AZ60:BB60"/>
    <mergeCell ref="AZ61:BB61"/>
    <mergeCell ref="AZ62:BB62"/>
    <mergeCell ref="AZ63:BB63"/>
    <mergeCell ref="AZ64:BB64"/>
    <mergeCell ref="AZ65:BB65"/>
    <mergeCell ref="AZ66:BB66"/>
    <mergeCell ref="AZ67:BB67"/>
    <mergeCell ref="AZ68:BB68"/>
    <mergeCell ref="AZ69:BB69"/>
    <mergeCell ref="AZ70:BB70"/>
    <mergeCell ref="AZ71:BB71"/>
    <mergeCell ref="AZ72:BB72"/>
    <mergeCell ref="AZ73:BB73"/>
    <mergeCell ref="AZ74:BB74"/>
    <mergeCell ref="AZ75:BB75"/>
    <mergeCell ref="AZ76:BB76"/>
    <mergeCell ref="AZ77:BB77"/>
    <mergeCell ref="AZ78:BB78"/>
    <mergeCell ref="AS91:AV91"/>
    <mergeCell ref="AS92:AV92"/>
    <mergeCell ref="AX55:AY55"/>
    <mergeCell ref="AX56:AY56"/>
    <mergeCell ref="AX57:AY57"/>
    <mergeCell ref="AX58:AY58"/>
    <mergeCell ref="AX59:AY59"/>
    <mergeCell ref="AX60:AY60"/>
    <mergeCell ref="AX61:AY61"/>
    <mergeCell ref="AX62:AY62"/>
    <mergeCell ref="AX63:AY63"/>
    <mergeCell ref="AX64:AY64"/>
    <mergeCell ref="AX65:AY65"/>
    <mergeCell ref="AX66:AY66"/>
    <mergeCell ref="AX67:AY67"/>
    <mergeCell ref="AX68:AY68"/>
    <mergeCell ref="AX69:AY69"/>
    <mergeCell ref="AX70:AY70"/>
    <mergeCell ref="AX71:AY71"/>
    <mergeCell ref="AX72:AY72"/>
    <mergeCell ref="AX73:AY73"/>
    <mergeCell ref="AX74:AY74"/>
    <mergeCell ref="AX75:AY75"/>
    <mergeCell ref="AX76:AY76"/>
    <mergeCell ref="AX77:AY77"/>
    <mergeCell ref="AX78:AY78"/>
    <mergeCell ref="AX79:AY79"/>
    <mergeCell ref="AX80:AY80"/>
    <mergeCell ref="AX81:AY81"/>
    <mergeCell ref="AX82:AY82"/>
    <mergeCell ref="AX83:AY83"/>
    <mergeCell ref="AX84:AY84"/>
    <mergeCell ref="AS72:AV72"/>
    <mergeCell ref="D90:J90"/>
    <mergeCell ref="AS73:AV73"/>
    <mergeCell ref="AS74:AV74"/>
    <mergeCell ref="AS75:AV75"/>
    <mergeCell ref="AS76:AV76"/>
    <mergeCell ref="AS77:AV77"/>
    <mergeCell ref="AS78:AV78"/>
    <mergeCell ref="AS79:AV79"/>
    <mergeCell ref="AS80:AV80"/>
    <mergeCell ref="AS81:AV81"/>
    <mergeCell ref="AS82:AV82"/>
    <mergeCell ref="AS83:AV83"/>
    <mergeCell ref="AS84:AV84"/>
    <mergeCell ref="AS85:AV85"/>
    <mergeCell ref="AS86:AV86"/>
    <mergeCell ref="AS87:AV87"/>
    <mergeCell ref="AS88:AV88"/>
    <mergeCell ref="AS89:AV89"/>
    <mergeCell ref="AS90:AV90"/>
    <mergeCell ref="D89:J89"/>
    <mergeCell ref="K89:L89"/>
    <mergeCell ref="M89:P89"/>
    <mergeCell ref="Q89:S89"/>
    <mergeCell ref="T89:V89"/>
    <mergeCell ref="W89:Y89"/>
    <mergeCell ref="Z89:AB89"/>
    <mergeCell ref="AC89:AE89"/>
    <mergeCell ref="AF89:AI89"/>
    <mergeCell ref="AJ89:AN89"/>
    <mergeCell ref="AO89:AR89"/>
    <mergeCell ref="K90:L90"/>
    <mergeCell ref="AS55:AV55"/>
    <mergeCell ref="AS56:AV56"/>
    <mergeCell ref="AS57:AV57"/>
    <mergeCell ref="AS58:AV58"/>
    <mergeCell ref="AS59:AV59"/>
    <mergeCell ref="AS60:AV60"/>
    <mergeCell ref="AS61:AV61"/>
    <mergeCell ref="AS62:AV62"/>
    <mergeCell ref="AS63:AV63"/>
    <mergeCell ref="AS64:AV64"/>
    <mergeCell ref="AS65:AV65"/>
    <mergeCell ref="AS66:AV66"/>
    <mergeCell ref="AS67:AV67"/>
    <mergeCell ref="AS68:AV68"/>
    <mergeCell ref="AS69:AV69"/>
    <mergeCell ref="AS70:AV70"/>
    <mergeCell ref="AS71:AV71"/>
    <mergeCell ref="K91:L91"/>
    <mergeCell ref="M91:P91"/>
    <mergeCell ref="Q91:S91"/>
    <mergeCell ref="T91:V91"/>
    <mergeCell ref="W91:Y91"/>
    <mergeCell ref="Z91:AB91"/>
    <mergeCell ref="AC91:AE91"/>
    <mergeCell ref="AF91:AI91"/>
    <mergeCell ref="AJ91:AN91"/>
    <mergeCell ref="AO91:AR91"/>
    <mergeCell ref="D92:J92"/>
    <mergeCell ref="K92:L92"/>
    <mergeCell ref="M92:P92"/>
    <mergeCell ref="Q92:S92"/>
    <mergeCell ref="T92:V92"/>
    <mergeCell ref="W92:Y92"/>
    <mergeCell ref="Z92:AB92"/>
    <mergeCell ref="AC92:AE92"/>
    <mergeCell ref="AF92:AI92"/>
    <mergeCell ref="AJ92:AN92"/>
    <mergeCell ref="AO92:AR92"/>
    <mergeCell ref="M90:P90"/>
    <mergeCell ref="Q90:S90"/>
    <mergeCell ref="T90:V90"/>
    <mergeCell ref="W90:Y90"/>
    <mergeCell ref="Z90:AB90"/>
    <mergeCell ref="AC90:AE90"/>
    <mergeCell ref="AF90:AI90"/>
    <mergeCell ref="AJ90:AN90"/>
    <mergeCell ref="AO90:AR90"/>
    <mergeCell ref="D87:J87"/>
    <mergeCell ref="K87:L87"/>
    <mergeCell ref="M87:P87"/>
    <mergeCell ref="Q87:S87"/>
    <mergeCell ref="T87:V87"/>
    <mergeCell ref="W87:Y87"/>
    <mergeCell ref="Z87:AB87"/>
    <mergeCell ref="AC87:AE87"/>
    <mergeCell ref="AF87:AI87"/>
    <mergeCell ref="AJ87:AN87"/>
    <mergeCell ref="AO87:AR87"/>
    <mergeCell ref="D88:J88"/>
    <mergeCell ref="K88:L88"/>
    <mergeCell ref="M88:P88"/>
    <mergeCell ref="Q88:S88"/>
    <mergeCell ref="T88:V88"/>
    <mergeCell ref="W88:Y88"/>
    <mergeCell ref="Z88:AB88"/>
    <mergeCell ref="AC88:AE88"/>
    <mergeCell ref="AF88:AI88"/>
    <mergeCell ref="AJ88:AN88"/>
    <mergeCell ref="AO88:AR88"/>
    <mergeCell ref="D85:J85"/>
    <mergeCell ref="K85:L85"/>
    <mergeCell ref="M85:P85"/>
    <mergeCell ref="Q85:S85"/>
    <mergeCell ref="T85:V85"/>
    <mergeCell ref="W85:Y85"/>
    <mergeCell ref="Z85:AB85"/>
    <mergeCell ref="AC85:AE85"/>
    <mergeCell ref="AF85:AI85"/>
    <mergeCell ref="AJ85:AN85"/>
    <mergeCell ref="AO85:AR85"/>
    <mergeCell ref="D86:J86"/>
    <mergeCell ref="K86:L86"/>
    <mergeCell ref="M86:P86"/>
    <mergeCell ref="Q86:S86"/>
    <mergeCell ref="T86:V86"/>
    <mergeCell ref="W86:Y86"/>
    <mergeCell ref="Z86:AB86"/>
    <mergeCell ref="AC86:AE86"/>
    <mergeCell ref="AF86:AI86"/>
    <mergeCell ref="AJ86:AN86"/>
    <mergeCell ref="AO86:AR86"/>
    <mergeCell ref="D83:J83"/>
    <mergeCell ref="K83:L83"/>
    <mergeCell ref="M83:P83"/>
    <mergeCell ref="Q83:S83"/>
    <mergeCell ref="T83:V83"/>
    <mergeCell ref="W83:Y83"/>
    <mergeCell ref="Z83:AB83"/>
    <mergeCell ref="AC83:AE83"/>
    <mergeCell ref="AF83:AI83"/>
    <mergeCell ref="AJ83:AN83"/>
    <mergeCell ref="AO83:AR83"/>
    <mergeCell ref="D84:J84"/>
    <mergeCell ref="K84:L84"/>
    <mergeCell ref="M84:P84"/>
    <mergeCell ref="Q84:S84"/>
    <mergeCell ref="T84:V84"/>
    <mergeCell ref="W84:Y84"/>
    <mergeCell ref="Z84:AB84"/>
    <mergeCell ref="AC84:AE84"/>
    <mergeCell ref="AF84:AI84"/>
    <mergeCell ref="AJ84:AN84"/>
    <mergeCell ref="AO84:AR84"/>
    <mergeCell ref="D81:J81"/>
    <mergeCell ref="K81:L81"/>
    <mergeCell ref="M81:P81"/>
    <mergeCell ref="Q81:S81"/>
    <mergeCell ref="T81:V81"/>
    <mergeCell ref="W81:Y81"/>
    <mergeCell ref="Z81:AB81"/>
    <mergeCell ref="AC81:AE81"/>
    <mergeCell ref="AF81:AI81"/>
    <mergeCell ref="AJ81:AN81"/>
    <mergeCell ref="AO81:AR81"/>
    <mergeCell ref="D82:J82"/>
    <mergeCell ref="K82:L82"/>
    <mergeCell ref="M82:P82"/>
    <mergeCell ref="Q82:S82"/>
    <mergeCell ref="T82:V82"/>
    <mergeCell ref="W82:Y82"/>
    <mergeCell ref="Z82:AB82"/>
    <mergeCell ref="AC82:AE82"/>
    <mergeCell ref="AF82:AI82"/>
    <mergeCell ref="AJ82:AN82"/>
    <mergeCell ref="AO82:AR82"/>
    <mergeCell ref="D79:J79"/>
    <mergeCell ref="K79:L79"/>
    <mergeCell ref="M79:P79"/>
    <mergeCell ref="Q79:S79"/>
    <mergeCell ref="T79:V79"/>
    <mergeCell ref="W79:Y79"/>
    <mergeCell ref="Z79:AB79"/>
    <mergeCell ref="AC79:AE79"/>
    <mergeCell ref="AF79:AI79"/>
    <mergeCell ref="AJ79:AN79"/>
    <mergeCell ref="AO79:AR79"/>
    <mergeCell ref="D80:J80"/>
    <mergeCell ref="K80:L80"/>
    <mergeCell ref="M80:P80"/>
    <mergeCell ref="Q80:S80"/>
    <mergeCell ref="T80:V80"/>
    <mergeCell ref="W80:Y80"/>
    <mergeCell ref="Z80:AB80"/>
    <mergeCell ref="AC80:AE80"/>
    <mergeCell ref="AF80:AI80"/>
    <mergeCell ref="AJ80:AN80"/>
    <mergeCell ref="AO80:AR80"/>
    <mergeCell ref="D77:J77"/>
    <mergeCell ref="K77:L77"/>
    <mergeCell ref="M77:P77"/>
    <mergeCell ref="Q77:S77"/>
    <mergeCell ref="T77:V77"/>
    <mergeCell ref="W77:Y77"/>
    <mergeCell ref="Z77:AB77"/>
    <mergeCell ref="AC77:AE77"/>
    <mergeCell ref="AF77:AI77"/>
    <mergeCell ref="AJ77:AN77"/>
    <mergeCell ref="AO77:AR77"/>
    <mergeCell ref="D78:J78"/>
    <mergeCell ref="K78:L78"/>
    <mergeCell ref="M78:P78"/>
    <mergeCell ref="Q78:S78"/>
    <mergeCell ref="T78:V78"/>
    <mergeCell ref="W78:Y78"/>
    <mergeCell ref="Z78:AB78"/>
    <mergeCell ref="AC78:AE78"/>
    <mergeCell ref="AF78:AI78"/>
    <mergeCell ref="AJ78:AN78"/>
    <mergeCell ref="AO78:AR78"/>
    <mergeCell ref="D75:J75"/>
    <mergeCell ref="K75:L75"/>
    <mergeCell ref="M75:P75"/>
    <mergeCell ref="Q75:S75"/>
    <mergeCell ref="T75:V75"/>
    <mergeCell ref="W75:Y75"/>
    <mergeCell ref="Z75:AB75"/>
    <mergeCell ref="AC75:AE75"/>
    <mergeCell ref="AF75:AI75"/>
    <mergeCell ref="AJ75:AN75"/>
    <mergeCell ref="AO75:AR75"/>
    <mergeCell ref="D76:J76"/>
    <mergeCell ref="K76:L76"/>
    <mergeCell ref="M76:P76"/>
    <mergeCell ref="Q76:S76"/>
    <mergeCell ref="T76:V76"/>
    <mergeCell ref="W76:Y76"/>
    <mergeCell ref="Z76:AB76"/>
    <mergeCell ref="AC76:AE76"/>
    <mergeCell ref="AF76:AI76"/>
    <mergeCell ref="AJ76:AN76"/>
    <mergeCell ref="AO76:AR76"/>
    <mergeCell ref="D73:J73"/>
    <mergeCell ref="K73:L73"/>
    <mergeCell ref="M73:P73"/>
    <mergeCell ref="Q73:S73"/>
    <mergeCell ref="T73:V73"/>
    <mergeCell ref="W73:Y73"/>
    <mergeCell ref="Z73:AB73"/>
    <mergeCell ref="AC73:AE73"/>
    <mergeCell ref="AF73:AI73"/>
    <mergeCell ref="AJ73:AN73"/>
    <mergeCell ref="AO73:AR73"/>
    <mergeCell ref="D74:J74"/>
    <mergeCell ref="K74:L74"/>
    <mergeCell ref="M74:P74"/>
    <mergeCell ref="Q74:S74"/>
    <mergeCell ref="T74:V74"/>
    <mergeCell ref="W74:Y74"/>
    <mergeCell ref="Z74:AB74"/>
    <mergeCell ref="AC74:AE74"/>
    <mergeCell ref="AF74:AI74"/>
    <mergeCell ref="AJ74:AN74"/>
    <mergeCell ref="AO74:AR74"/>
    <mergeCell ref="D71:J71"/>
    <mergeCell ref="K71:L71"/>
    <mergeCell ref="M71:P71"/>
    <mergeCell ref="Q71:S71"/>
    <mergeCell ref="T71:V71"/>
    <mergeCell ref="W71:Y71"/>
    <mergeCell ref="Z71:AB71"/>
    <mergeCell ref="AC71:AE71"/>
    <mergeCell ref="AF71:AI71"/>
    <mergeCell ref="AJ71:AN71"/>
    <mergeCell ref="AO71:AR71"/>
    <mergeCell ref="D72:J72"/>
    <mergeCell ref="K72:L72"/>
    <mergeCell ref="M72:P72"/>
    <mergeCell ref="Q72:S72"/>
    <mergeCell ref="T72:V72"/>
    <mergeCell ref="W72:Y72"/>
    <mergeCell ref="Z72:AB72"/>
    <mergeCell ref="AC72:AE72"/>
    <mergeCell ref="AF72:AI72"/>
    <mergeCell ref="AJ72:AN72"/>
    <mergeCell ref="AO72:AR72"/>
    <mergeCell ref="D69:J69"/>
    <mergeCell ref="K69:L69"/>
    <mergeCell ref="M69:P69"/>
    <mergeCell ref="Q69:S69"/>
    <mergeCell ref="T69:V69"/>
    <mergeCell ref="W69:Y69"/>
    <mergeCell ref="Z69:AB69"/>
    <mergeCell ref="AC69:AE69"/>
    <mergeCell ref="AF69:AI69"/>
    <mergeCell ref="AJ69:AN69"/>
    <mergeCell ref="AO69:AR69"/>
    <mergeCell ref="D70:J70"/>
    <mergeCell ref="K70:L70"/>
    <mergeCell ref="M70:P70"/>
    <mergeCell ref="Q70:S70"/>
    <mergeCell ref="T70:V70"/>
    <mergeCell ref="W70:Y70"/>
    <mergeCell ref="Z70:AB70"/>
    <mergeCell ref="AC70:AE70"/>
    <mergeCell ref="AF70:AI70"/>
    <mergeCell ref="AJ70:AN70"/>
    <mergeCell ref="AO70:AR70"/>
    <mergeCell ref="D67:J67"/>
    <mergeCell ref="K67:L67"/>
    <mergeCell ref="M67:P67"/>
    <mergeCell ref="Q67:S67"/>
    <mergeCell ref="T67:V67"/>
    <mergeCell ref="W67:Y67"/>
    <mergeCell ref="Z67:AB67"/>
    <mergeCell ref="AC67:AE67"/>
    <mergeCell ref="AF67:AI67"/>
    <mergeCell ref="AJ67:AN67"/>
    <mergeCell ref="AO67:AR67"/>
    <mergeCell ref="D68:J68"/>
    <mergeCell ref="K68:L68"/>
    <mergeCell ref="M68:P68"/>
    <mergeCell ref="Q68:S68"/>
    <mergeCell ref="T68:V68"/>
    <mergeCell ref="W68:Y68"/>
    <mergeCell ref="Z68:AB68"/>
    <mergeCell ref="AC68:AE68"/>
    <mergeCell ref="AF68:AI68"/>
    <mergeCell ref="AJ68:AN68"/>
    <mergeCell ref="AO68:AR68"/>
    <mergeCell ref="D65:J65"/>
    <mergeCell ref="K65:L65"/>
    <mergeCell ref="M65:P65"/>
    <mergeCell ref="Q65:S65"/>
    <mergeCell ref="T65:V65"/>
    <mergeCell ref="W65:Y65"/>
    <mergeCell ref="Z65:AB65"/>
    <mergeCell ref="AC65:AE65"/>
    <mergeCell ref="AF65:AI65"/>
    <mergeCell ref="AJ65:AN65"/>
    <mergeCell ref="AO65:AR65"/>
    <mergeCell ref="D66:J66"/>
    <mergeCell ref="K66:L66"/>
    <mergeCell ref="M66:P66"/>
    <mergeCell ref="Q66:S66"/>
    <mergeCell ref="T66:V66"/>
    <mergeCell ref="W66:Y66"/>
    <mergeCell ref="Z66:AB66"/>
    <mergeCell ref="AC66:AE66"/>
    <mergeCell ref="AF66:AI66"/>
    <mergeCell ref="AJ66:AN66"/>
    <mergeCell ref="AO66:AR66"/>
    <mergeCell ref="D63:J63"/>
    <mergeCell ref="K63:L63"/>
    <mergeCell ref="M63:P63"/>
    <mergeCell ref="Q63:S63"/>
    <mergeCell ref="T63:V63"/>
    <mergeCell ref="W63:Y63"/>
    <mergeCell ref="Z63:AB63"/>
    <mergeCell ref="AC63:AE63"/>
    <mergeCell ref="AF63:AI63"/>
    <mergeCell ref="AJ63:AN63"/>
    <mergeCell ref="AO63:AR63"/>
    <mergeCell ref="D64:J64"/>
    <mergeCell ref="K64:L64"/>
    <mergeCell ref="M64:P64"/>
    <mergeCell ref="Q64:S64"/>
    <mergeCell ref="T64:V64"/>
    <mergeCell ref="W64:Y64"/>
    <mergeCell ref="Z64:AB64"/>
    <mergeCell ref="AC64:AE64"/>
    <mergeCell ref="AF64:AI64"/>
    <mergeCell ref="AJ64:AN64"/>
    <mergeCell ref="AO64:AR64"/>
    <mergeCell ref="D61:J61"/>
    <mergeCell ref="K61:L61"/>
    <mergeCell ref="M61:P61"/>
    <mergeCell ref="Q61:S61"/>
    <mergeCell ref="T61:V61"/>
    <mergeCell ref="W61:Y61"/>
    <mergeCell ref="Z61:AB61"/>
    <mergeCell ref="AC61:AE61"/>
    <mergeCell ref="AF61:AI61"/>
    <mergeCell ref="AJ61:AN61"/>
    <mergeCell ref="AO61:AR61"/>
    <mergeCell ref="D62:J62"/>
    <mergeCell ref="K62:L62"/>
    <mergeCell ref="M62:P62"/>
    <mergeCell ref="Q62:S62"/>
    <mergeCell ref="T62:V62"/>
    <mergeCell ref="W62:Y62"/>
    <mergeCell ref="Z62:AB62"/>
    <mergeCell ref="AC62:AE62"/>
    <mergeCell ref="AF62:AI62"/>
    <mergeCell ref="AJ62:AN62"/>
    <mergeCell ref="AO62:AR62"/>
    <mergeCell ref="D59:J59"/>
    <mergeCell ref="K59:L59"/>
    <mergeCell ref="M59:P59"/>
    <mergeCell ref="Q59:S59"/>
    <mergeCell ref="T59:V59"/>
    <mergeCell ref="W59:Y59"/>
    <mergeCell ref="Z59:AB59"/>
    <mergeCell ref="AC59:AE59"/>
    <mergeCell ref="AF59:AI59"/>
    <mergeCell ref="AJ59:AN59"/>
    <mergeCell ref="AO59:AR59"/>
    <mergeCell ref="D60:J60"/>
    <mergeCell ref="K60:L60"/>
    <mergeCell ref="M60:P60"/>
    <mergeCell ref="Q60:S60"/>
    <mergeCell ref="T60:V60"/>
    <mergeCell ref="W60:Y60"/>
    <mergeCell ref="Z60:AB60"/>
    <mergeCell ref="AC60:AE60"/>
    <mergeCell ref="AF60:AI60"/>
    <mergeCell ref="AJ60:AN60"/>
    <mergeCell ref="AO60:AR60"/>
    <mergeCell ref="K57:L57"/>
    <mergeCell ref="M57:P57"/>
    <mergeCell ref="Q57:S57"/>
    <mergeCell ref="T57:V57"/>
    <mergeCell ref="W57:Y57"/>
    <mergeCell ref="Z57:AB57"/>
    <mergeCell ref="AC57:AE57"/>
    <mergeCell ref="AF57:AI57"/>
    <mergeCell ref="AJ57:AN57"/>
    <mergeCell ref="AO57:AR57"/>
    <mergeCell ref="K56:L56"/>
    <mergeCell ref="M56:P56"/>
    <mergeCell ref="Q56:S56"/>
    <mergeCell ref="D58:J58"/>
    <mergeCell ref="K58:L58"/>
    <mergeCell ref="M58:P58"/>
    <mergeCell ref="Q58:S58"/>
    <mergeCell ref="T58:V58"/>
    <mergeCell ref="W58:Y58"/>
    <mergeCell ref="Z58:AB58"/>
    <mergeCell ref="AC58:AE58"/>
    <mergeCell ref="AF58:AI58"/>
    <mergeCell ref="AJ58:AN58"/>
    <mergeCell ref="AO58:AR58"/>
    <mergeCell ref="D55:J55"/>
    <mergeCell ref="K55:L55"/>
    <mergeCell ref="M55:P55"/>
    <mergeCell ref="Q55:S55"/>
    <mergeCell ref="T55:V55"/>
    <mergeCell ref="W55:Y55"/>
    <mergeCell ref="Z55:AB55"/>
    <mergeCell ref="AC55:AE55"/>
    <mergeCell ref="AF55:AI55"/>
    <mergeCell ref="AJ55:AN55"/>
    <mergeCell ref="AO55:AR55"/>
    <mergeCell ref="T56:V56"/>
    <mergeCell ref="W56:Y56"/>
    <mergeCell ref="Z56:AB56"/>
    <mergeCell ref="AC56:AE56"/>
    <mergeCell ref="AF56:AI56"/>
    <mergeCell ref="AJ56:AN56"/>
    <mergeCell ref="AO56:AR56"/>
    <mergeCell ref="BF42:BH42"/>
    <mergeCell ref="BI42:BK42"/>
    <mergeCell ref="C53:C54"/>
    <mergeCell ref="D53:J54"/>
    <mergeCell ref="K53:L54"/>
    <mergeCell ref="M53:S53"/>
    <mergeCell ref="T53:Y53"/>
    <mergeCell ref="Z53:AE53"/>
    <mergeCell ref="AF53:AI54"/>
    <mergeCell ref="AJ53:AN54"/>
    <mergeCell ref="AO53:AR54"/>
    <mergeCell ref="M54:P54"/>
    <mergeCell ref="Q54:S54"/>
    <mergeCell ref="T54:V54"/>
    <mergeCell ref="W54:Y54"/>
    <mergeCell ref="Z54:AB54"/>
    <mergeCell ref="AC54:AE54"/>
    <mergeCell ref="AS53:AV53"/>
    <mergeCell ref="AS54:AV54"/>
    <mergeCell ref="CI39:CK39"/>
    <mergeCell ref="AL40:AM40"/>
    <mergeCell ref="AN40:AQ40"/>
    <mergeCell ref="AR40:AT40"/>
    <mergeCell ref="AU40:BE40"/>
    <mergeCell ref="BF40:BH40"/>
    <mergeCell ref="BI40:BK40"/>
    <mergeCell ref="AL39:AM39"/>
    <mergeCell ref="AN39:AQ39"/>
    <mergeCell ref="AR39:AT39"/>
    <mergeCell ref="AU39:BE39"/>
    <mergeCell ref="BF39:BH39"/>
    <mergeCell ref="AL44:AM44"/>
    <mergeCell ref="AN44:AQ44"/>
    <mergeCell ref="AR44:AT44"/>
    <mergeCell ref="AU44:BE44"/>
    <mergeCell ref="BF44:BH44"/>
    <mergeCell ref="BI44:BK44"/>
    <mergeCell ref="CB42:CE42"/>
    <mergeCell ref="CF42:CH42"/>
    <mergeCell ref="CI42:CK42"/>
    <mergeCell ref="AL43:AM43"/>
    <mergeCell ref="AN43:AQ43"/>
    <mergeCell ref="AR43:AT43"/>
    <mergeCell ref="AU43:BE43"/>
    <mergeCell ref="BF43:BH43"/>
    <mergeCell ref="BI43:BK43"/>
    <mergeCell ref="CB43:CE44"/>
    <mergeCell ref="AL42:AM42"/>
    <mergeCell ref="AN42:AQ42"/>
    <mergeCell ref="AR42:AT42"/>
    <mergeCell ref="AU42:BE42"/>
    <mergeCell ref="AU38:BE38"/>
    <mergeCell ref="BF38:BH38"/>
    <mergeCell ref="BI38:BK38"/>
    <mergeCell ref="BF37:BH37"/>
    <mergeCell ref="BI37:BK37"/>
    <mergeCell ref="BK34:BL34"/>
    <mergeCell ref="BM34:BN34"/>
    <mergeCell ref="BP34:BQ34"/>
    <mergeCell ref="BY34:CA34"/>
    <mergeCell ref="CB34:CH34"/>
    <mergeCell ref="AL41:AM41"/>
    <mergeCell ref="AN41:AQ41"/>
    <mergeCell ref="AR41:AT41"/>
    <mergeCell ref="AU41:BE41"/>
    <mergeCell ref="BF41:BH41"/>
    <mergeCell ref="BI41:BK41"/>
    <mergeCell ref="CB39:CE39"/>
    <mergeCell ref="CF39:CH39"/>
    <mergeCell ref="BI39:BK39"/>
    <mergeCell ref="BL28:BO28"/>
    <mergeCell ref="U28:W28"/>
    <mergeCell ref="X28:Z28"/>
    <mergeCell ref="AA28:AK28"/>
    <mergeCell ref="AL28:AV28"/>
    <mergeCell ref="AW28:AY28"/>
    <mergeCell ref="AZ28:BA28"/>
    <mergeCell ref="A28:B28"/>
    <mergeCell ref="C28:H28"/>
    <mergeCell ref="I28:L28"/>
    <mergeCell ref="M28:P28"/>
    <mergeCell ref="Q28:T28"/>
    <mergeCell ref="U37:Y38"/>
    <mergeCell ref="AL37:AM37"/>
    <mergeCell ref="AN37:AQ37"/>
    <mergeCell ref="AR37:AT37"/>
    <mergeCell ref="AU37:BE37"/>
    <mergeCell ref="AW34:AX34"/>
    <mergeCell ref="AY34:AZ34"/>
    <mergeCell ref="BA34:BB34"/>
    <mergeCell ref="BE34:BF34"/>
    <mergeCell ref="BG34:BH34"/>
    <mergeCell ref="BI34:BJ34"/>
    <mergeCell ref="L34:S34"/>
    <mergeCell ref="T34:AF34"/>
    <mergeCell ref="AJ34:AK34"/>
    <mergeCell ref="AL34:AQ34"/>
    <mergeCell ref="AS34:AT34"/>
    <mergeCell ref="AU34:AV34"/>
    <mergeCell ref="AL38:AM38"/>
    <mergeCell ref="AN38:AQ38"/>
    <mergeCell ref="AR38:AT38"/>
    <mergeCell ref="AZ27:BA27"/>
    <mergeCell ref="BB27:BC27"/>
    <mergeCell ref="A27:B27"/>
    <mergeCell ref="C27:H27"/>
    <mergeCell ref="I27:L27"/>
    <mergeCell ref="M27:P27"/>
    <mergeCell ref="Q27:T27"/>
    <mergeCell ref="U27:W27"/>
    <mergeCell ref="A29:B29"/>
    <mergeCell ref="C29:H29"/>
    <mergeCell ref="I29:L29"/>
    <mergeCell ref="M29:P29"/>
    <mergeCell ref="Q29:T29"/>
    <mergeCell ref="U29:W29"/>
    <mergeCell ref="BF28:BG28"/>
    <mergeCell ref="BH28:BI28"/>
    <mergeCell ref="BJ28:BK28"/>
    <mergeCell ref="BP28:BS28"/>
    <mergeCell ref="BT28:BU28"/>
    <mergeCell ref="BV28:BW28"/>
    <mergeCell ref="BX28:BZ28"/>
    <mergeCell ref="BB28:BC28"/>
    <mergeCell ref="BD28:BE28"/>
    <mergeCell ref="BP26:BS26"/>
    <mergeCell ref="BB26:BC26"/>
    <mergeCell ref="BD26:BE26"/>
    <mergeCell ref="BF26:BG26"/>
    <mergeCell ref="BH26:BI26"/>
    <mergeCell ref="BJ26:BK26"/>
    <mergeCell ref="BL26:BO26"/>
    <mergeCell ref="U26:W26"/>
    <mergeCell ref="X26:Z26"/>
    <mergeCell ref="AA26:AK26"/>
    <mergeCell ref="AL26:AV26"/>
    <mergeCell ref="AW26:AY26"/>
    <mergeCell ref="AZ26:BA26"/>
    <mergeCell ref="BT27:BU27"/>
    <mergeCell ref="BV27:BW27"/>
    <mergeCell ref="BX27:BZ27"/>
    <mergeCell ref="BD27:BE27"/>
    <mergeCell ref="BF27:BG27"/>
    <mergeCell ref="BH27:BI27"/>
    <mergeCell ref="BJ27:BK27"/>
    <mergeCell ref="BL27:BO27"/>
    <mergeCell ref="BP27:BS27"/>
    <mergeCell ref="X27:Z27"/>
    <mergeCell ref="AA27:AK27"/>
    <mergeCell ref="AL27:AV27"/>
    <mergeCell ref="AW27:AY27"/>
    <mergeCell ref="BT21:BU21"/>
    <mergeCell ref="BV21:BW21"/>
    <mergeCell ref="BX21:BZ21"/>
    <mergeCell ref="C26:H26"/>
    <mergeCell ref="I26:L26"/>
    <mergeCell ref="M26:P26"/>
    <mergeCell ref="Q26:T26"/>
    <mergeCell ref="BD21:BE21"/>
    <mergeCell ref="BF21:BG21"/>
    <mergeCell ref="BH21:BI21"/>
    <mergeCell ref="BJ21:BK21"/>
    <mergeCell ref="BL21:BO21"/>
    <mergeCell ref="BP21:BS21"/>
    <mergeCell ref="X21:Z21"/>
    <mergeCell ref="AA21:AK21"/>
    <mergeCell ref="AL21:AV21"/>
    <mergeCell ref="AW21:AY21"/>
    <mergeCell ref="AZ21:BA21"/>
    <mergeCell ref="BB21:BC21"/>
    <mergeCell ref="C21:H21"/>
    <mergeCell ref="I21:L21"/>
    <mergeCell ref="BT25:BU25"/>
    <mergeCell ref="BV25:BW25"/>
    <mergeCell ref="BX25:BZ25"/>
    <mergeCell ref="BD25:BE25"/>
    <mergeCell ref="BF25:BG25"/>
    <mergeCell ref="AL25:AV25"/>
    <mergeCell ref="AW25:AY25"/>
    <mergeCell ref="AZ25:BA25"/>
    <mergeCell ref="BB25:BC25"/>
    <mergeCell ref="U24:W24"/>
    <mergeCell ref="X24:Z24"/>
    <mergeCell ref="AA24:AK24"/>
    <mergeCell ref="AL24:AV24"/>
    <mergeCell ref="AW24:AY24"/>
    <mergeCell ref="AZ24:BA24"/>
    <mergeCell ref="BH24:BI24"/>
    <mergeCell ref="BJ24:BK24"/>
    <mergeCell ref="BL24:BO24"/>
    <mergeCell ref="A25:B25"/>
    <mergeCell ref="C25:H25"/>
    <mergeCell ref="I25:L25"/>
    <mergeCell ref="M25:P25"/>
    <mergeCell ref="Q25:T25"/>
    <mergeCell ref="U25:W25"/>
    <mergeCell ref="BT23:BU23"/>
    <mergeCell ref="BV23:BW23"/>
    <mergeCell ref="BX23:BZ23"/>
    <mergeCell ref="BD23:BE23"/>
    <mergeCell ref="BF23:BG23"/>
    <mergeCell ref="BH23:BI23"/>
    <mergeCell ref="BJ23:BK23"/>
    <mergeCell ref="BL23:BO23"/>
    <mergeCell ref="BP23:BS23"/>
    <mergeCell ref="X23:Z23"/>
    <mergeCell ref="AA23:AK23"/>
    <mergeCell ref="AL23:AV23"/>
    <mergeCell ref="BT24:BU24"/>
    <mergeCell ref="BV24:BW24"/>
    <mergeCell ref="BX24:BZ24"/>
    <mergeCell ref="BB24:BC24"/>
    <mergeCell ref="BD24:BE24"/>
    <mergeCell ref="BF24:BG24"/>
    <mergeCell ref="BP24:BS24"/>
    <mergeCell ref="BF22:BG22"/>
    <mergeCell ref="BH22:BI22"/>
    <mergeCell ref="BJ22:BK22"/>
    <mergeCell ref="BL22:BO22"/>
    <mergeCell ref="U22:W22"/>
    <mergeCell ref="X22:Z22"/>
    <mergeCell ref="AA22:AK22"/>
    <mergeCell ref="AL22:AV22"/>
    <mergeCell ref="AW22:AY22"/>
    <mergeCell ref="AZ22:BA22"/>
    <mergeCell ref="A21:B21"/>
    <mergeCell ref="M21:P21"/>
    <mergeCell ref="Q21:T21"/>
    <mergeCell ref="U21:W21"/>
    <mergeCell ref="AW23:AY23"/>
    <mergeCell ref="AZ23:BA23"/>
    <mergeCell ref="BB23:BC23"/>
    <mergeCell ref="U23:W23"/>
    <mergeCell ref="A23:B23"/>
    <mergeCell ref="C23:H23"/>
    <mergeCell ref="I23:L23"/>
    <mergeCell ref="M23:P23"/>
    <mergeCell ref="Q23:T23"/>
    <mergeCell ref="BT20:BU20"/>
    <mergeCell ref="BV20:BW20"/>
    <mergeCell ref="BX20:BZ20"/>
    <mergeCell ref="A22:B22"/>
    <mergeCell ref="C22:H22"/>
    <mergeCell ref="I22:L22"/>
    <mergeCell ref="M22:P22"/>
    <mergeCell ref="Q22:T22"/>
    <mergeCell ref="BD20:BE20"/>
    <mergeCell ref="BF20:BG20"/>
    <mergeCell ref="BH20:BI20"/>
    <mergeCell ref="BJ20:BK20"/>
    <mergeCell ref="BL20:BO20"/>
    <mergeCell ref="BP20:BS20"/>
    <mergeCell ref="X20:Z20"/>
    <mergeCell ref="AA20:AK20"/>
    <mergeCell ref="AL20:AV20"/>
    <mergeCell ref="AW20:AY20"/>
    <mergeCell ref="AZ20:BA20"/>
    <mergeCell ref="BB20:BC20"/>
    <mergeCell ref="A20:B20"/>
    <mergeCell ref="C20:H20"/>
    <mergeCell ref="I20:L20"/>
    <mergeCell ref="M20:P20"/>
    <mergeCell ref="Q20:T20"/>
    <mergeCell ref="U20:W20"/>
    <mergeCell ref="BP22:BS22"/>
    <mergeCell ref="BT22:BU22"/>
    <mergeCell ref="BV22:BW22"/>
    <mergeCell ref="BX22:BZ22"/>
    <mergeCell ref="BB22:BC22"/>
    <mergeCell ref="BD22:BE22"/>
    <mergeCell ref="A17:B17"/>
    <mergeCell ref="C17:H17"/>
    <mergeCell ref="I17:L17"/>
    <mergeCell ref="M17:P17"/>
    <mergeCell ref="Q17:T17"/>
    <mergeCell ref="U17:W17"/>
    <mergeCell ref="BP19:BS19"/>
    <mergeCell ref="BL18:BO18"/>
    <mergeCell ref="BP18:BS18"/>
    <mergeCell ref="BD19:BE19"/>
    <mergeCell ref="BF19:BG19"/>
    <mergeCell ref="BH19:BI19"/>
    <mergeCell ref="BJ19:BK19"/>
    <mergeCell ref="BL19:BO19"/>
    <mergeCell ref="U19:W19"/>
    <mergeCell ref="X19:Z19"/>
    <mergeCell ref="AA19:AK19"/>
    <mergeCell ref="AL19:AV19"/>
    <mergeCell ref="AW19:AY19"/>
    <mergeCell ref="AZ19:BA19"/>
    <mergeCell ref="A19:B19"/>
    <mergeCell ref="C19:H19"/>
    <mergeCell ref="A18:B18"/>
    <mergeCell ref="C18:H18"/>
    <mergeCell ref="BB18:BC18"/>
    <mergeCell ref="BD18:BE18"/>
    <mergeCell ref="BF18:BG18"/>
    <mergeCell ref="BH18:BI18"/>
    <mergeCell ref="BJ18:BK18"/>
    <mergeCell ref="BT16:BU16"/>
    <mergeCell ref="BV16:BW16"/>
    <mergeCell ref="BX16:BZ16"/>
    <mergeCell ref="BB16:BC16"/>
    <mergeCell ref="I19:L19"/>
    <mergeCell ref="M19:P19"/>
    <mergeCell ref="Q19:T19"/>
    <mergeCell ref="BD17:BE17"/>
    <mergeCell ref="BF17:BG17"/>
    <mergeCell ref="BH17:BI17"/>
    <mergeCell ref="BJ17:BK17"/>
    <mergeCell ref="BL17:BO17"/>
    <mergeCell ref="BP17:BS17"/>
    <mergeCell ref="X17:Z17"/>
    <mergeCell ref="AA17:AK17"/>
    <mergeCell ref="AL17:AV17"/>
    <mergeCell ref="AW17:AY17"/>
    <mergeCell ref="AZ17:BA17"/>
    <mergeCell ref="BB17:BC17"/>
    <mergeCell ref="BT19:BU19"/>
    <mergeCell ref="BV19:BW19"/>
    <mergeCell ref="BX19:BZ19"/>
    <mergeCell ref="BB19:BC19"/>
    <mergeCell ref="I18:L18"/>
    <mergeCell ref="M18:P18"/>
    <mergeCell ref="Q18:T18"/>
    <mergeCell ref="U18:W18"/>
    <mergeCell ref="X18:Z18"/>
    <mergeCell ref="AA18:AK18"/>
    <mergeCell ref="AL18:AV18"/>
    <mergeCell ref="AW18:AY18"/>
    <mergeCell ref="AZ18:BA18"/>
    <mergeCell ref="A16:B16"/>
    <mergeCell ref="C16:H16"/>
    <mergeCell ref="I16:L16"/>
    <mergeCell ref="M16:P16"/>
    <mergeCell ref="Q16:T16"/>
    <mergeCell ref="BD14:BE14"/>
    <mergeCell ref="BF14:BG14"/>
    <mergeCell ref="BH14:BI14"/>
    <mergeCell ref="BJ14:BK14"/>
    <mergeCell ref="BL14:BO14"/>
    <mergeCell ref="BP14:BS14"/>
    <mergeCell ref="X14:Z14"/>
    <mergeCell ref="AA14:AK14"/>
    <mergeCell ref="AL14:AV14"/>
    <mergeCell ref="AW14:AY14"/>
    <mergeCell ref="AZ14:BA14"/>
    <mergeCell ref="BB14:BC14"/>
    <mergeCell ref="A14:B14"/>
    <mergeCell ref="C14:H14"/>
    <mergeCell ref="I14:L14"/>
    <mergeCell ref="M14:P14"/>
    <mergeCell ref="Q14:T14"/>
    <mergeCell ref="U14:W14"/>
    <mergeCell ref="BP16:BS16"/>
    <mergeCell ref="BF15:BG15"/>
    <mergeCell ref="BH15:BI15"/>
    <mergeCell ref="BJ15:BK15"/>
    <mergeCell ref="BL15:BO15"/>
    <mergeCell ref="A15:B15"/>
    <mergeCell ref="C15:H15"/>
    <mergeCell ref="I15:L15"/>
    <mergeCell ref="AL15:AV15"/>
    <mergeCell ref="A11:B11"/>
    <mergeCell ref="C11:H11"/>
    <mergeCell ref="I11:L11"/>
    <mergeCell ref="M11:P11"/>
    <mergeCell ref="Q11:T11"/>
    <mergeCell ref="U11:W11"/>
    <mergeCell ref="A13:B13"/>
    <mergeCell ref="C13:H13"/>
    <mergeCell ref="I13:L13"/>
    <mergeCell ref="M13:P13"/>
    <mergeCell ref="Q13:T13"/>
    <mergeCell ref="BP13:BS13"/>
    <mergeCell ref="BT13:BU13"/>
    <mergeCell ref="BV13:BW13"/>
    <mergeCell ref="BX13:BZ13"/>
    <mergeCell ref="BB13:BC13"/>
    <mergeCell ref="BD13:BE13"/>
    <mergeCell ref="BF13:BG13"/>
    <mergeCell ref="BH13:BI13"/>
    <mergeCell ref="BJ13:BK13"/>
    <mergeCell ref="BL13:BO13"/>
    <mergeCell ref="U13:W13"/>
    <mergeCell ref="X13:Z13"/>
    <mergeCell ref="AA13:AK13"/>
    <mergeCell ref="AL13:AV13"/>
    <mergeCell ref="AW13:AY13"/>
    <mergeCell ref="AZ13:BA13"/>
    <mergeCell ref="I12:L12"/>
    <mergeCell ref="M12:P12"/>
    <mergeCell ref="Q12:T12"/>
    <mergeCell ref="BX12:BZ12"/>
    <mergeCell ref="BJ12:BK12"/>
    <mergeCell ref="BF8:BG8"/>
    <mergeCell ref="BV11:BW11"/>
    <mergeCell ref="BX11:BZ11"/>
    <mergeCell ref="BD11:BE11"/>
    <mergeCell ref="BF11:BG11"/>
    <mergeCell ref="BH11:BI11"/>
    <mergeCell ref="BJ11:BK11"/>
    <mergeCell ref="BL11:BO11"/>
    <mergeCell ref="BP11:BS11"/>
    <mergeCell ref="X11:Z11"/>
    <mergeCell ref="AA11:AK11"/>
    <mergeCell ref="AL11:AV11"/>
    <mergeCell ref="AW11:AY11"/>
    <mergeCell ref="AZ11:BA11"/>
    <mergeCell ref="BB11:BC11"/>
    <mergeCell ref="BT10:BU10"/>
    <mergeCell ref="BV10:BW10"/>
    <mergeCell ref="BX10:BZ10"/>
    <mergeCell ref="BH8:BI8"/>
    <mergeCell ref="BJ8:BK8"/>
    <mergeCell ref="BL8:BO8"/>
    <mergeCell ref="A10:B10"/>
    <mergeCell ref="C10:H10"/>
    <mergeCell ref="I10:L10"/>
    <mergeCell ref="M10:P10"/>
    <mergeCell ref="Q10:T10"/>
    <mergeCell ref="BP10:BS10"/>
    <mergeCell ref="U8:W8"/>
    <mergeCell ref="X8:Z8"/>
    <mergeCell ref="AA8:AK8"/>
    <mergeCell ref="BT9:BU9"/>
    <mergeCell ref="BV9:BW9"/>
    <mergeCell ref="BX9:BZ9"/>
    <mergeCell ref="BB9:BC9"/>
    <mergeCell ref="BD9:BE9"/>
    <mergeCell ref="BF9:BG9"/>
    <mergeCell ref="BH9:BI9"/>
    <mergeCell ref="BJ9:BK9"/>
    <mergeCell ref="BL9:BO9"/>
    <mergeCell ref="U9:W9"/>
    <mergeCell ref="X9:Z9"/>
    <mergeCell ref="AA9:AK9"/>
    <mergeCell ref="AL9:AV9"/>
    <mergeCell ref="AW9:AY9"/>
    <mergeCell ref="AZ9:BA9"/>
    <mergeCell ref="BP8:BS8"/>
    <mergeCell ref="BT8:BU8"/>
    <mergeCell ref="BV8:BW8"/>
    <mergeCell ref="BX8:BZ8"/>
    <mergeCell ref="AZ8:BA8"/>
    <mergeCell ref="Q8:T8"/>
    <mergeCell ref="BB8:BC8"/>
    <mergeCell ref="BD8:BE8"/>
    <mergeCell ref="BT7:BU7"/>
    <mergeCell ref="BV7:BW7"/>
    <mergeCell ref="BX7:BZ7"/>
    <mergeCell ref="A9:B9"/>
    <mergeCell ref="C9:H9"/>
    <mergeCell ref="I9:L9"/>
    <mergeCell ref="M9:P9"/>
    <mergeCell ref="Q9:T9"/>
    <mergeCell ref="BD7:BE7"/>
    <mergeCell ref="BF7:BG7"/>
    <mergeCell ref="BH7:BI7"/>
    <mergeCell ref="BJ7:BK7"/>
    <mergeCell ref="BL7:BO7"/>
    <mergeCell ref="BP7:BS7"/>
    <mergeCell ref="X7:Z7"/>
    <mergeCell ref="AA7:AK7"/>
    <mergeCell ref="AL7:AV7"/>
    <mergeCell ref="AW7:AY7"/>
    <mergeCell ref="AZ7:BA7"/>
    <mergeCell ref="BB7:BC7"/>
    <mergeCell ref="A7:B7"/>
    <mergeCell ref="C7:H7"/>
    <mergeCell ref="I7:L7"/>
    <mergeCell ref="M7:P7"/>
    <mergeCell ref="Q7:T7"/>
    <mergeCell ref="U7:W7"/>
    <mergeCell ref="BP9:BS9"/>
    <mergeCell ref="A8:B8"/>
    <mergeCell ref="C8:H8"/>
    <mergeCell ref="I8:L8"/>
    <mergeCell ref="AL8:AV8"/>
    <mergeCell ref="AW8:AY8"/>
    <mergeCell ref="BT3:BW4"/>
    <mergeCell ref="BJ5:BK5"/>
    <mergeCell ref="BT5:BU5"/>
    <mergeCell ref="BV5:BW5"/>
    <mergeCell ref="BT6:BU6"/>
    <mergeCell ref="BV6:BW6"/>
    <mergeCell ref="BX6:BZ6"/>
    <mergeCell ref="BD6:BE6"/>
    <mergeCell ref="BF6:BG6"/>
    <mergeCell ref="BH6:BI6"/>
    <mergeCell ref="BJ6:BK6"/>
    <mergeCell ref="BL6:BO6"/>
    <mergeCell ref="BP6:BS6"/>
    <mergeCell ref="X6:Z6"/>
    <mergeCell ref="AA6:AK6"/>
    <mergeCell ref="AL6:AV6"/>
    <mergeCell ref="AW6:AY6"/>
    <mergeCell ref="AZ6:BA6"/>
    <mergeCell ref="BB6:BC6"/>
    <mergeCell ref="BB15:BC15"/>
    <mergeCell ref="BD15:BE15"/>
    <mergeCell ref="CA3:CK5"/>
    <mergeCell ref="A1:CK2"/>
    <mergeCell ref="A3:B5"/>
    <mergeCell ref="C3:H5"/>
    <mergeCell ref="I3:L5"/>
    <mergeCell ref="M3:P5"/>
    <mergeCell ref="Q3:T5"/>
    <mergeCell ref="U3:W5"/>
    <mergeCell ref="X3:Z5"/>
    <mergeCell ref="AA3:AV4"/>
    <mergeCell ref="A6:B6"/>
    <mergeCell ref="C6:H6"/>
    <mergeCell ref="I6:L6"/>
    <mergeCell ref="M6:P6"/>
    <mergeCell ref="Q6:T6"/>
    <mergeCell ref="U6:W6"/>
    <mergeCell ref="BX3:BZ5"/>
    <mergeCell ref="AA5:AK5"/>
    <mergeCell ref="AL5:AV5"/>
    <mergeCell ref="AZ5:BA5"/>
    <mergeCell ref="BB5:BC5"/>
    <mergeCell ref="BD5:BE5"/>
    <mergeCell ref="BF5:BG5"/>
    <mergeCell ref="BH5:BI5"/>
    <mergeCell ref="AW3:AY5"/>
    <mergeCell ref="AZ3:BE4"/>
    <mergeCell ref="BF3:BK4"/>
    <mergeCell ref="M8:P8"/>
    <mergeCell ref="BL3:BO5"/>
    <mergeCell ref="BP3:BS5"/>
    <mergeCell ref="BV15:BW15"/>
    <mergeCell ref="BH25:BI25"/>
    <mergeCell ref="BJ25:BK25"/>
    <mergeCell ref="A12:B12"/>
    <mergeCell ref="C12:H12"/>
    <mergeCell ref="BT14:BU14"/>
    <mergeCell ref="BV14:BW14"/>
    <mergeCell ref="BX14:BZ14"/>
    <mergeCell ref="BF16:BG16"/>
    <mergeCell ref="BH16:BI16"/>
    <mergeCell ref="BJ16:BK16"/>
    <mergeCell ref="BL16:BO16"/>
    <mergeCell ref="U16:W16"/>
    <mergeCell ref="X16:Z16"/>
    <mergeCell ref="AA16:AK16"/>
    <mergeCell ref="AL16:AV16"/>
    <mergeCell ref="AW16:AY16"/>
    <mergeCell ref="AZ16:BA16"/>
    <mergeCell ref="BT17:BU17"/>
    <mergeCell ref="BV17:BW17"/>
    <mergeCell ref="BX17:BZ17"/>
    <mergeCell ref="U12:W12"/>
    <mergeCell ref="X12:Z12"/>
    <mergeCell ref="BH12:BI12"/>
    <mergeCell ref="BD16:BE16"/>
    <mergeCell ref="M15:P15"/>
    <mergeCell ref="Q15:T15"/>
    <mergeCell ref="U15:W15"/>
    <mergeCell ref="BX15:BZ15"/>
    <mergeCell ref="BV18:BW18"/>
    <mergeCell ref="AW15:AY15"/>
    <mergeCell ref="AZ15:BA15"/>
    <mergeCell ref="BX18:BZ18"/>
    <mergeCell ref="BB10:BC10"/>
    <mergeCell ref="BD10:BE10"/>
    <mergeCell ref="BF10:BG10"/>
    <mergeCell ref="BH10:BI10"/>
    <mergeCell ref="BJ10:BK10"/>
    <mergeCell ref="BL10:BO10"/>
    <mergeCell ref="U10:W10"/>
    <mergeCell ref="X10:Z10"/>
    <mergeCell ref="AA10:AK10"/>
    <mergeCell ref="AL10:AV10"/>
    <mergeCell ref="AW10:AY10"/>
    <mergeCell ref="AZ10:BA10"/>
    <mergeCell ref="BT11:BU11"/>
    <mergeCell ref="M24:P24"/>
    <mergeCell ref="Q24:T24"/>
    <mergeCell ref="BL12:BO12"/>
    <mergeCell ref="BP12:BS12"/>
    <mergeCell ref="BT12:BU12"/>
    <mergeCell ref="BV12:BW12"/>
    <mergeCell ref="BT18:BU18"/>
    <mergeCell ref="AA12:AK12"/>
    <mergeCell ref="AL12:AV12"/>
    <mergeCell ref="AW12:AY12"/>
    <mergeCell ref="AZ12:BA12"/>
    <mergeCell ref="BB12:BC12"/>
    <mergeCell ref="BD12:BE12"/>
    <mergeCell ref="BF12:BG12"/>
    <mergeCell ref="X15:Z15"/>
    <mergeCell ref="AA15:AK15"/>
    <mergeCell ref="BP15:BS15"/>
    <mergeCell ref="BT15:BU15"/>
    <mergeCell ref="A24:B24"/>
    <mergeCell ref="A26:B26"/>
    <mergeCell ref="D91:J91"/>
    <mergeCell ref="D57:J57"/>
    <mergeCell ref="D56:J56"/>
    <mergeCell ref="A33:CK33"/>
    <mergeCell ref="A32:CK32"/>
    <mergeCell ref="A31:CK31"/>
    <mergeCell ref="BT26:BU26"/>
    <mergeCell ref="BV26:BW26"/>
    <mergeCell ref="BX26:BZ26"/>
    <mergeCell ref="BP29:BS29"/>
    <mergeCell ref="BT29:BU29"/>
    <mergeCell ref="BV29:BW29"/>
    <mergeCell ref="BX29:BZ29"/>
    <mergeCell ref="X29:Z29"/>
    <mergeCell ref="AA29:AK29"/>
    <mergeCell ref="AL29:AV29"/>
    <mergeCell ref="AW29:AY29"/>
    <mergeCell ref="AZ29:BA29"/>
    <mergeCell ref="BB29:BC29"/>
    <mergeCell ref="BD29:BE29"/>
    <mergeCell ref="BF29:BG29"/>
    <mergeCell ref="BH29:BI29"/>
    <mergeCell ref="BJ29:BK29"/>
    <mergeCell ref="BL29:BO29"/>
    <mergeCell ref="C24:H24"/>
    <mergeCell ref="I24:L24"/>
    <mergeCell ref="BL25:BO25"/>
    <mergeCell ref="BP25:BS25"/>
    <mergeCell ref="X25:Z25"/>
    <mergeCell ref="AA25:AK25"/>
  </mergeCells>
  <phoneticPr fontId="3" type="noConversion"/>
  <conditionalFormatting sqref="M6:P10 M14:P22">
    <cfRule type="cellIs" dxfId="12" priority="18" operator="equal">
      <formula>"2$M$6:$P$11"</formula>
    </cfRule>
  </conditionalFormatting>
  <conditionalFormatting sqref="M6:P10 M14:P28">
    <cfRule type="cellIs" dxfId="11" priority="19" operator="equal">
      <formula>21009</formula>
    </cfRule>
  </conditionalFormatting>
  <conditionalFormatting sqref="Q6:T17">
    <cfRule type="cellIs" dxfId="10" priority="10" operator="equal">
      <formula>"1$Q$6:$T$11"</formula>
    </cfRule>
    <cfRule type="cellIs" dxfId="9" priority="11" operator="equal">
      <formula>15</formula>
    </cfRule>
  </conditionalFormatting>
  <pageMargins left="0.19685039370078741" right="0.19685039370078741" top="0.19685039370078741" bottom="0.19685039370078741" header="7.874015748031496E-2" footer="7.874015748031496E-2"/>
  <pageSetup paperSize="8" scale="94" fitToHeight="0" orientation="landscape" r:id="rId8"/>
  <headerFooter alignWithMargins="0"/>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065C-0BB8-4398-87D6-4E7DEEAFCC8F}">
  <sheetPr>
    <pageSetUpPr fitToPage="1"/>
  </sheetPr>
  <dimension ref="B1:I22"/>
  <sheetViews>
    <sheetView view="pageBreakPreview" zoomScaleNormal="100" zoomScaleSheetLayoutView="100" workbookViewId="0">
      <selection activeCell="E6" sqref="E6"/>
    </sheetView>
  </sheetViews>
  <sheetFormatPr defaultColWidth="9.109375" defaultRowHeight="14.4"/>
  <cols>
    <col min="1" max="1" width="1.88671875" style="178" customWidth="1"/>
    <col min="2" max="2" width="9.88671875" style="178" customWidth="1"/>
    <col min="3" max="3" width="14.6640625" style="178" customWidth="1"/>
    <col min="4" max="4" width="13.5546875" style="178" customWidth="1"/>
    <col min="5" max="5" width="34.6640625" style="178" customWidth="1"/>
    <col min="6" max="7" width="12.88671875" style="178" customWidth="1"/>
    <col min="8" max="8" width="13.88671875" style="178" customWidth="1"/>
    <col min="9" max="9" width="1.88671875" style="178" customWidth="1"/>
    <col min="10" max="16384" width="9.109375" style="178"/>
  </cols>
  <sheetData>
    <row r="1" spans="2:8" ht="7.5" customHeight="1"/>
    <row r="2" spans="2:8" ht="69.45" customHeight="1">
      <c r="B2" s="543" t="s">
        <v>348</v>
      </c>
      <c r="C2" s="544"/>
      <c r="D2" s="544"/>
      <c r="E2" s="545" t="s">
        <v>349</v>
      </c>
      <c r="F2" s="545"/>
      <c r="G2" s="544" t="s">
        <v>348</v>
      </c>
      <c r="H2" s="546"/>
    </row>
    <row r="3" spans="2:8" ht="24.45" customHeight="1">
      <c r="B3" s="547" t="s">
        <v>464</v>
      </c>
      <c r="C3" s="548"/>
      <c r="D3" s="548"/>
      <c r="E3" s="548" t="s">
        <v>462</v>
      </c>
      <c r="F3" s="548"/>
      <c r="G3" s="549" t="s">
        <v>350</v>
      </c>
      <c r="H3" s="550"/>
    </row>
    <row r="4" spans="2:8" ht="34.5" customHeight="1">
      <c r="B4" s="535" t="s">
        <v>461</v>
      </c>
      <c r="C4" s="536"/>
      <c r="D4" s="536"/>
      <c r="E4" s="537" t="s">
        <v>463</v>
      </c>
      <c r="F4" s="537"/>
      <c r="G4" s="537" t="s">
        <v>359</v>
      </c>
      <c r="H4" s="538"/>
    </row>
    <row r="5" spans="2:8" ht="75" customHeight="1">
      <c r="B5" s="179"/>
      <c r="C5" s="180"/>
      <c r="D5" s="180"/>
      <c r="E5" s="180"/>
      <c r="F5" s="180"/>
      <c r="G5" s="180"/>
      <c r="H5" s="181"/>
    </row>
    <row r="6" spans="2:8" ht="75" customHeight="1">
      <c r="B6" s="182"/>
      <c r="C6" s="198"/>
      <c r="D6" s="198"/>
      <c r="E6" s="198"/>
      <c r="F6" s="198"/>
      <c r="G6" s="198"/>
      <c r="H6" s="183"/>
    </row>
    <row r="7" spans="2:8" ht="75" customHeight="1">
      <c r="B7" s="539" t="s">
        <v>358</v>
      </c>
      <c r="C7" s="540"/>
      <c r="D7" s="540"/>
      <c r="E7" s="540"/>
      <c r="F7" s="540"/>
      <c r="G7" s="540"/>
      <c r="H7" s="541"/>
    </row>
    <row r="8" spans="2:8" ht="75" customHeight="1">
      <c r="B8" s="542"/>
      <c r="C8" s="540"/>
      <c r="D8" s="540"/>
      <c r="E8" s="540"/>
      <c r="F8" s="540"/>
      <c r="G8" s="540"/>
      <c r="H8" s="541"/>
    </row>
    <row r="9" spans="2:8" ht="75" customHeight="1">
      <c r="B9" s="185"/>
      <c r="C9" s="199"/>
      <c r="D9" s="199"/>
      <c r="E9" s="199"/>
      <c r="F9" s="199"/>
      <c r="G9" s="199"/>
      <c r="H9" s="184"/>
    </row>
    <row r="10" spans="2:8" ht="75" customHeight="1">
      <c r="B10" s="185"/>
      <c r="C10" s="199"/>
      <c r="D10" s="199"/>
      <c r="E10" s="199"/>
      <c r="F10" s="199"/>
      <c r="G10" s="199"/>
      <c r="H10" s="184"/>
    </row>
    <row r="11" spans="2:8" ht="75" customHeight="1">
      <c r="B11" s="185"/>
      <c r="C11" s="199"/>
      <c r="D11" s="199"/>
      <c r="E11" s="199"/>
      <c r="F11" s="199"/>
      <c r="G11" s="199"/>
      <c r="H11" s="184"/>
    </row>
    <row r="12" spans="2:8" ht="75" customHeight="1">
      <c r="B12" s="185"/>
      <c r="C12" s="199"/>
      <c r="D12" s="199"/>
      <c r="E12" s="199"/>
      <c r="F12" s="199"/>
      <c r="G12" s="199"/>
      <c r="H12" s="184"/>
    </row>
    <row r="13" spans="2:8" ht="17.399999999999999" customHeight="1">
      <c r="B13" s="186"/>
      <c r="C13" s="187"/>
      <c r="D13" s="531"/>
      <c r="E13" s="531"/>
      <c r="F13" s="187"/>
      <c r="G13" s="187"/>
      <c r="H13" s="188"/>
    </row>
    <row r="14" spans="2:8" ht="17.399999999999999" customHeight="1">
      <c r="B14" s="186"/>
      <c r="C14" s="187"/>
      <c r="D14" s="531"/>
      <c r="E14" s="531"/>
      <c r="F14" s="187"/>
      <c r="G14" s="187"/>
      <c r="H14" s="188"/>
    </row>
    <row r="15" spans="2:8" ht="23.25" customHeight="1">
      <c r="B15" s="189"/>
      <c r="C15" s="190"/>
      <c r="D15" s="534"/>
      <c r="E15" s="534"/>
      <c r="F15" s="191"/>
      <c r="G15" s="191"/>
      <c r="H15" s="194"/>
    </row>
    <row r="16" spans="2:8" ht="17.399999999999999" customHeight="1">
      <c r="B16" s="192">
        <v>0</v>
      </c>
      <c r="C16" s="193">
        <v>46293</v>
      </c>
      <c r="D16" s="532" t="s">
        <v>351</v>
      </c>
      <c r="E16" s="532"/>
      <c r="F16" s="191" t="s">
        <v>460</v>
      </c>
      <c r="G16" s="191" t="s">
        <v>345</v>
      </c>
      <c r="H16" s="194" t="s">
        <v>344</v>
      </c>
    </row>
    <row r="17" spans="2:9" ht="30" customHeight="1">
      <c r="B17" s="195" t="s">
        <v>352</v>
      </c>
      <c r="C17" s="196" t="s">
        <v>353</v>
      </c>
      <c r="D17" s="533" t="s">
        <v>354</v>
      </c>
      <c r="E17" s="533"/>
      <c r="F17" s="196" t="s">
        <v>355</v>
      </c>
      <c r="G17" s="196" t="s">
        <v>356</v>
      </c>
      <c r="H17" s="197" t="s">
        <v>357</v>
      </c>
    </row>
    <row r="18" spans="2:9" ht="53.1" customHeight="1">
      <c r="B18" s="530"/>
      <c r="C18" s="530"/>
      <c r="D18" s="530"/>
      <c r="E18" s="530"/>
      <c r="F18" s="530"/>
      <c r="G18" s="530"/>
      <c r="H18" s="530"/>
      <c r="I18" s="530"/>
    </row>
    <row r="19" spans="2:9" ht="43.95" customHeight="1">
      <c r="B19" s="530"/>
      <c r="C19" s="530"/>
      <c r="D19" s="530"/>
      <c r="E19" s="530"/>
      <c r="F19" s="530"/>
      <c r="G19" s="530"/>
      <c r="H19" s="530"/>
      <c r="I19" s="530"/>
    </row>
    <row r="20" spans="2:9" ht="31.35" customHeight="1">
      <c r="B20" s="530"/>
      <c r="C20" s="530"/>
      <c r="D20" s="530"/>
      <c r="E20" s="530"/>
      <c r="F20" s="530"/>
      <c r="G20" s="530"/>
      <c r="H20" s="530"/>
      <c r="I20" s="530"/>
    </row>
    <row r="21" spans="2:9" ht="30.45" customHeight="1">
      <c r="B21" s="530"/>
      <c r="C21" s="530"/>
      <c r="D21" s="530"/>
      <c r="E21" s="530"/>
      <c r="F21" s="530"/>
      <c r="G21" s="530"/>
      <c r="H21" s="530"/>
      <c r="I21" s="530"/>
    </row>
    <row r="22" spans="2:9" ht="27.15" customHeight="1">
      <c r="B22" s="530"/>
      <c r="C22" s="530"/>
      <c r="D22" s="530"/>
      <c r="E22" s="530"/>
      <c r="F22" s="530"/>
      <c r="G22" s="530"/>
      <c r="H22" s="530"/>
      <c r="I22" s="530"/>
    </row>
  </sheetData>
  <customSheetViews>
    <customSheetView guid="{4B2152C0-165D-47F1-8933-57B3261F1379}" showPageBreaks="1" fitToPage="1" printArea="1" view="pageBreakPreview">
      <selection activeCell="J4" sqref="J4"/>
      <pageMargins left="0.196850393700787" right="3.9370078740157501E-2" top="0.196850393700787" bottom="0.196850393700787" header="7.8740157480315001E-2" footer="7.8740157480315001E-2"/>
      <printOptions horizontalCentered="1" verticalCentered="1"/>
      <pageSetup paperSize="9" scale="89" orientation="portrait" r:id="rId1"/>
    </customSheetView>
    <customSheetView guid="{9313348B-AF43-459E-B141-13E53440B183}" showPageBreaks="1" fitToPage="1" printArea="1" view="pageBreakPreview">
      <selection activeCell="J4" sqref="J4"/>
      <pageMargins left="0.196850393700787" right="3.9370078740157501E-2" top="0.196850393700787" bottom="0.196850393700787" header="7.8740157480315001E-2" footer="7.8740157480315001E-2"/>
      <printOptions horizontalCentered="1" verticalCentered="1"/>
      <pageSetup paperSize="9" scale="89" orientation="portrait" r:id="rId2"/>
    </customSheetView>
  </customSheetViews>
  <mergeCells count="20">
    <mergeCell ref="B2:D2"/>
    <mergeCell ref="E2:F2"/>
    <mergeCell ref="G2:H2"/>
    <mergeCell ref="B3:D3"/>
    <mergeCell ref="E3:F3"/>
    <mergeCell ref="G3:H3"/>
    <mergeCell ref="B4:D4"/>
    <mergeCell ref="E4:F4"/>
    <mergeCell ref="G4:H4"/>
    <mergeCell ref="B7:H8"/>
    <mergeCell ref="D13:E13"/>
    <mergeCell ref="B21:I21"/>
    <mergeCell ref="B22:I22"/>
    <mergeCell ref="D14:E14"/>
    <mergeCell ref="D16:E16"/>
    <mergeCell ref="D17:E17"/>
    <mergeCell ref="B18:I18"/>
    <mergeCell ref="B19:I19"/>
    <mergeCell ref="B20:I20"/>
    <mergeCell ref="D15:E15"/>
  </mergeCells>
  <printOptions horizontalCentered="1" verticalCentered="1"/>
  <pageMargins left="0.196850393700787" right="3.9370078740157501E-2" top="0.196850393700787" bottom="0.196850393700787" header="7.8740157480315001E-2" footer="7.8740157480315001E-2"/>
  <pageSetup paperSize="9" scale="91"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2D3BB-48C6-4713-AB30-1A9281419170}">
  <sheetPr>
    <pageSetUpPr fitToPage="1"/>
  </sheetPr>
  <dimension ref="A1:DJ216"/>
  <sheetViews>
    <sheetView view="pageBreakPreview" zoomScale="115" zoomScaleNormal="70" zoomScaleSheetLayoutView="115" workbookViewId="0">
      <selection activeCell="I21" sqref="I21:L21"/>
    </sheetView>
  </sheetViews>
  <sheetFormatPr defaultColWidth="2.44140625" defaultRowHeight="12.75" customHeight="1"/>
  <cols>
    <col min="8" max="8" width="9.109375" customWidth="1"/>
    <col min="12" max="12" width="2.44140625" customWidth="1"/>
    <col min="17" max="17" width="9.109375" customWidth="1"/>
    <col min="22" max="24" width="2.44140625" customWidth="1"/>
    <col min="25" max="25" width="15.33203125" hidden="1" customWidth="1"/>
    <col min="26" max="28" width="2.44140625" customWidth="1"/>
    <col min="29" max="29" width="7.5546875" customWidth="1"/>
    <col min="30" max="30" width="7.88671875" customWidth="1"/>
    <col min="31" max="31" width="11.88671875" customWidth="1"/>
    <col min="32" max="32" width="31.88671875" hidden="1" customWidth="1"/>
    <col min="33" max="33" width="11.88671875" customWidth="1"/>
    <col min="34" max="41" width="2.44140625" customWidth="1"/>
    <col min="42" max="42" width="2.44140625" bestFit="1" customWidth="1"/>
    <col min="43" max="43" width="1" customWidth="1"/>
    <col min="44" max="53" width="2.44140625" customWidth="1"/>
    <col min="54" max="54" width="8.33203125" customWidth="1"/>
    <col min="55" max="57" width="2.44140625" customWidth="1"/>
    <col min="58" max="58" width="3.109375" customWidth="1"/>
    <col min="59" max="61" width="2.44140625" customWidth="1"/>
    <col min="62" max="62" width="2.6640625" customWidth="1"/>
    <col min="63" max="63" width="1.88671875" customWidth="1"/>
    <col min="64" max="71" width="2.44140625" customWidth="1"/>
    <col min="72" max="75" width="2.44140625" bestFit="1" customWidth="1"/>
    <col min="76" max="77" width="2.44140625" customWidth="1"/>
    <col min="98" max="98" width="8.109375" customWidth="1"/>
    <col min="102" max="102" width="6.44140625" customWidth="1"/>
    <col min="103" max="103" width="7.88671875" customWidth="1"/>
    <col min="104" max="104" width="10.88671875" bestFit="1" customWidth="1"/>
    <col min="105" max="105" width="9.109375" customWidth="1"/>
    <col min="106" max="106" width="8.6640625" style="106" customWidth="1"/>
    <col min="107" max="107" width="10.33203125" style="106" customWidth="1"/>
    <col min="108" max="108" width="9.33203125" style="106" customWidth="1"/>
    <col min="109" max="116" width="4.88671875" customWidth="1"/>
  </cols>
  <sheetData>
    <row r="1" spans="1:114" ht="12.75" customHeight="1">
      <c r="A1" s="327" t="s">
        <v>4</v>
      </c>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c r="AC1" s="328"/>
      <c r="AD1" s="328"/>
      <c r="AE1" s="328"/>
      <c r="AF1" s="328"/>
      <c r="AG1" s="328"/>
      <c r="AH1" s="328"/>
      <c r="AI1" s="328"/>
      <c r="AJ1" s="328"/>
      <c r="AK1" s="328"/>
      <c r="AL1" s="328"/>
      <c r="AM1" s="328"/>
      <c r="AN1" s="328"/>
      <c r="AO1" s="328"/>
      <c r="AP1" s="328"/>
      <c r="AQ1" s="328"/>
      <c r="AR1" s="328"/>
      <c r="AS1" s="328"/>
      <c r="AT1" s="328"/>
      <c r="AU1" s="328"/>
      <c r="AV1" s="328"/>
      <c r="AW1" s="328"/>
      <c r="AX1" s="328"/>
      <c r="AY1" s="328"/>
      <c r="AZ1" s="328"/>
      <c r="BA1" s="328"/>
      <c r="BB1" s="328"/>
      <c r="BC1" s="328"/>
      <c r="BD1" s="328"/>
      <c r="BE1" s="328"/>
      <c r="BF1" s="328"/>
      <c r="BG1" s="328"/>
      <c r="BH1" s="328"/>
      <c r="BI1" s="328"/>
      <c r="BJ1" s="328"/>
      <c r="BK1" s="328"/>
      <c r="BL1" s="328"/>
      <c r="BM1" s="328"/>
      <c r="BN1" s="328"/>
      <c r="BO1" s="328"/>
      <c r="BP1" s="328"/>
      <c r="BQ1" s="328"/>
      <c r="BR1" s="328"/>
      <c r="BS1" s="328"/>
      <c r="BT1" s="328"/>
      <c r="BU1" s="328"/>
      <c r="BV1" s="328"/>
      <c r="BW1" s="328"/>
      <c r="BX1" s="328"/>
      <c r="BY1" s="328"/>
      <c r="BZ1" s="328"/>
      <c r="CA1" s="328"/>
      <c r="CB1" s="328"/>
      <c r="CC1" s="328"/>
      <c r="CD1" s="328"/>
      <c r="CE1" s="328"/>
      <c r="CF1" s="328"/>
      <c r="CG1" s="328"/>
      <c r="CH1" s="328"/>
      <c r="CI1" s="328"/>
      <c r="CJ1" s="328"/>
      <c r="CK1" s="328"/>
      <c r="CL1" s="328"/>
      <c r="CM1" s="680"/>
    </row>
    <row r="2" spans="1:114" ht="12.75" customHeight="1">
      <c r="A2" s="329"/>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0"/>
      <c r="AV2" s="330"/>
      <c r="AW2" s="330"/>
      <c r="AX2" s="330"/>
      <c r="AY2" s="330"/>
      <c r="AZ2" s="330"/>
      <c r="BA2" s="330"/>
      <c r="BB2" s="330"/>
      <c r="BC2" s="330"/>
      <c r="BD2" s="330"/>
      <c r="BE2" s="330"/>
      <c r="BF2" s="330"/>
      <c r="BG2" s="330"/>
      <c r="BH2" s="330"/>
      <c r="BI2" s="330"/>
      <c r="BJ2" s="330"/>
      <c r="BK2" s="330"/>
      <c r="BL2" s="330"/>
      <c r="BM2" s="330"/>
      <c r="BN2" s="330"/>
      <c r="BO2" s="330"/>
      <c r="BP2" s="330"/>
      <c r="BQ2" s="330"/>
      <c r="BR2" s="330"/>
      <c r="BS2" s="330"/>
      <c r="BT2" s="330"/>
      <c r="BU2" s="330"/>
      <c r="BV2" s="330"/>
      <c r="BW2" s="330"/>
      <c r="BX2" s="330"/>
      <c r="BY2" s="330"/>
      <c r="BZ2" s="330"/>
      <c r="CA2" s="330"/>
      <c r="CB2" s="330"/>
      <c r="CC2" s="330"/>
      <c r="CD2" s="330"/>
      <c r="CE2" s="330"/>
      <c r="CF2" s="330"/>
      <c r="CG2" s="330"/>
      <c r="CH2" s="330"/>
      <c r="CI2" s="330"/>
      <c r="CJ2" s="330"/>
      <c r="CK2" s="330"/>
      <c r="CL2" s="330"/>
      <c r="CM2" s="681"/>
      <c r="CY2" s="76"/>
      <c r="CZ2" s="76"/>
      <c r="DA2" s="76"/>
    </row>
    <row r="3" spans="1:114" s="74" customFormat="1" ht="12.75" customHeight="1">
      <c r="A3" s="331" t="s">
        <v>90</v>
      </c>
      <c r="B3" s="442"/>
      <c r="C3" s="331" t="s">
        <v>376</v>
      </c>
      <c r="D3" s="334"/>
      <c r="E3" s="334"/>
      <c r="F3" s="334"/>
      <c r="G3" s="334"/>
      <c r="H3" s="442"/>
      <c r="I3" s="331" t="s">
        <v>94</v>
      </c>
      <c r="J3" s="334"/>
      <c r="K3" s="334"/>
      <c r="L3" s="442"/>
      <c r="M3" s="331" t="s">
        <v>92</v>
      </c>
      <c r="N3" s="334"/>
      <c r="O3" s="334"/>
      <c r="P3" s="442"/>
      <c r="Q3" s="344" t="s">
        <v>91</v>
      </c>
      <c r="R3" s="331" t="s">
        <v>93</v>
      </c>
      <c r="S3" s="334"/>
      <c r="T3" s="334"/>
      <c r="U3" s="442"/>
      <c r="V3" s="331" t="s">
        <v>95</v>
      </c>
      <c r="W3" s="334"/>
      <c r="X3" s="442"/>
      <c r="Y3" s="204"/>
      <c r="Z3" s="331" t="s">
        <v>96</v>
      </c>
      <c r="AA3" s="334"/>
      <c r="AB3" s="442"/>
      <c r="AC3" s="331" t="s">
        <v>395</v>
      </c>
      <c r="AD3" s="331" t="s">
        <v>396</v>
      </c>
      <c r="AE3" s="331" t="s">
        <v>397</v>
      </c>
      <c r="AF3" s="344"/>
      <c r="AG3" s="347" t="s">
        <v>97</v>
      </c>
      <c r="AH3" s="348"/>
      <c r="AI3" s="348"/>
      <c r="AJ3" s="348"/>
      <c r="AK3" s="348"/>
      <c r="AL3" s="348"/>
      <c r="AM3" s="348"/>
      <c r="AN3" s="348"/>
      <c r="AO3" s="348"/>
      <c r="AP3" s="348"/>
      <c r="AQ3" s="348"/>
      <c r="AR3" s="348"/>
      <c r="AS3" s="348"/>
      <c r="AT3" s="348"/>
      <c r="AU3" s="348"/>
      <c r="AV3" s="348"/>
      <c r="AW3" s="348"/>
      <c r="AX3" s="348"/>
      <c r="AY3" s="348"/>
      <c r="AZ3" s="348"/>
      <c r="BA3" s="348"/>
      <c r="BB3" s="447"/>
      <c r="BC3" s="331" t="s">
        <v>98</v>
      </c>
      <c r="BD3" s="334"/>
      <c r="BE3" s="442"/>
      <c r="BF3" s="331" t="s">
        <v>206</v>
      </c>
      <c r="BG3" s="334"/>
      <c r="BH3" s="334"/>
      <c r="BI3" s="442"/>
      <c r="BJ3" s="331" t="s">
        <v>99</v>
      </c>
      <c r="BK3" s="334"/>
      <c r="BL3" s="334"/>
      <c r="BM3" s="442"/>
      <c r="BN3" s="336" t="s">
        <v>100</v>
      </c>
      <c r="BO3" s="342"/>
      <c r="BP3" s="342"/>
      <c r="BQ3" s="454"/>
      <c r="BR3" s="339" t="s">
        <v>101</v>
      </c>
      <c r="BS3" s="467"/>
      <c r="BT3" s="467"/>
      <c r="BU3" s="468"/>
      <c r="BV3" s="336" t="s">
        <v>102</v>
      </c>
      <c r="BW3" s="342"/>
      <c r="BX3" s="342"/>
      <c r="BY3" s="454"/>
      <c r="BZ3" s="336" t="s">
        <v>103</v>
      </c>
      <c r="CA3" s="342"/>
      <c r="CB3" s="454"/>
      <c r="CC3" s="331" t="s">
        <v>104</v>
      </c>
      <c r="CD3" s="334"/>
      <c r="CE3" s="334"/>
      <c r="CF3" s="334"/>
      <c r="CG3" s="334"/>
      <c r="CH3" s="334"/>
      <c r="CI3" s="334"/>
      <c r="CJ3" s="334"/>
      <c r="CK3" s="334"/>
      <c r="CL3" s="334"/>
      <c r="CM3" s="442"/>
      <c r="CN3" s="86"/>
      <c r="CO3" s="86"/>
      <c r="CP3" s="86"/>
      <c r="CQ3" s="86"/>
      <c r="CR3" s="86"/>
      <c r="CS3" s="86"/>
      <c r="CT3" s="86"/>
      <c r="CU3" s="86"/>
      <c r="CV3" s="86"/>
      <c r="CW3" s="86"/>
      <c r="CX3" s="86"/>
      <c r="CY3" s="78"/>
      <c r="CZ3" s="78"/>
      <c r="DA3" s="78"/>
      <c r="DB3" s="107"/>
      <c r="DC3" s="107"/>
      <c r="DD3" s="108"/>
    </row>
    <row r="4" spans="1:114" s="75" customFormat="1" ht="12.75" customHeight="1">
      <c r="A4" s="332"/>
      <c r="B4" s="444"/>
      <c r="C4" s="332"/>
      <c r="D4" s="432"/>
      <c r="E4" s="432"/>
      <c r="F4" s="432"/>
      <c r="G4" s="432"/>
      <c r="H4" s="444"/>
      <c r="I4" s="332"/>
      <c r="J4" s="432"/>
      <c r="K4" s="432"/>
      <c r="L4" s="444"/>
      <c r="M4" s="332"/>
      <c r="N4" s="432"/>
      <c r="O4" s="432"/>
      <c r="P4" s="444"/>
      <c r="Q4" s="345"/>
      <c r="R4" s="332"/>
      <c r="S4" s="432"/>
      <c r="T4" s="432"/>
      <c r="U4" s="444"/>
      <c r="V4" s="332"/>
      <c r="W4" s="432"/>
      <c r="X4" s="444"/>
      <c r="Y4" s="207"/>
      <c r="Z4" s="332"/>
      <c r="AA4" s="432"/>
      <c r="AB4" s="444"/>
      <c r="AC4" s="332"/>
      <c r="AD4" s="332"/>
      <c r="AE4" s="332"/>
      <c r="AF4" s="345"/>
      <c r="AG4" s="349"/>
      <c r="AH4" s="350"/>
      <c r="AI4" s="350"/>
      <c r="AJ4" s="350"/>
      <c r="AK4" s="350"/>
      <c r="AL4" s="350"/>
      <c r="AM4" s="350"/>
      <c r="AN4" s="350"/>
      <c r="AO4" s="350"/>
      <c r="AP4" s="350"/>
      <c r="AQ4" s="350"/>
      <c r="AR4" s="350"/>
      <c r="AS4" s="350"/>
      <c r="AT4" s="350"/>
      <c r="AU4" s="350"/>
      <c r="AV4" s="350"/>
      <c r="AW4" s="350"/>
      <c r="AX4" s="350"/>
      <c r="AY4" s="350"/>
      <c r="AZ4" s="350"/>
      <c r="BA4" s="350"/>
      <c r="BB4" s="463"/>
      <c r="BC4" s="332"/>
      <c r="BD4" s="432"/>
      <c r="BE4" s="444"/>
      <c r="BF4" s="333"/>
      <c r="BG4" s="335"/>
      <c r="BH4" s="335"/>
      <c r="BI4" s="446"/>
      <c r="BJ4" s="333"/>
      <c r="BK4" s="335"/>
      <c r="BL4" s="335"/>
      <c r="BM4" s="446"/>
      <c r="BN4" s="337"/>
      <c r="BO4" s="455"/>
      <c r="BP4" s="455"/>
      <c r="BQ4" s="456"/>
      <c r="BR4" s="340"/>
      <c r="BS4" s="469"/>
      <c r="BT4" s="469"/>
      <c r="BU4" s="470"/>
      <c r="BV4" s="338"/>
      <c r="BW4" s="343"/>
      <c r="BX4" s="343"/>
      <c r="BY4" s="457"/>
      <c r="BZ4" s="337"/>
      <c r="CA4" s="455"/>
      <c r="CB4" s="456"/>
      <c r="CC4" s="332"/>
      <c r="CD4" s="432"/>
      <c r="CE4" s="432"/>
      <c r="CF4" s="432"/>
      <c r="CG4" s="432"/>
      <c r="CH4" s="432"/>
      <c r="CI4" s="432"/>
      <c r="CJ4" s="432"/>
      <c r="CK4" s="432"/>
      <c r="CL4" s="432"/>
      <c r="CM4" s="444"/>
      <c r="CN4" s="87"/>
      <c r="CO4" s="87"/>
      <c r="CP4" s="87"/>
      <c r="CQ4" s="87"/>
      <c r="CR4" s="87"/>
      <c r="CS4" s="87"/>
      <c r="CT4" s="87"/>
      <c r="CU4" s="87"/>
      <c r="CV4" s="87"/>
      <c r="CW4" s="87"/>
      <c r="CX4" s="87"/>
      <c r="CY4" s="77"/>
      <c r="CZ4" s="77"/>
      <c r="DA4" s="77"/>
      <c r="DB4" s="109"/>
      <c r="DC4" s="109"/>
      <c r="DD4" s="110"/>
    </row>
    <row r="5" spans="1:114" s="75" customFormat="1" ht="11.25" customHeight="1">
      <c r="A5" s="333"/>
      <c r="B5" s="446"/>
      <c r="C5" s="333"/>
      <c r="D5" s="335"/>
      <c r="E5" s="335"/>
      <c r="F5" s="335"/>
      <c r="G5" s="335"/>
      <c r="H5" s="446"/>
      <c r="I5" s="333"/>
      <c r="J5" s="335"/>
      <c r="K5" s="335"/>
      <c r="L5" s="446"/>
      <c r="M5" s="333"/>
      <c r="N5" s="335"/>
      <c r="O5" s="335"/>
      <c r="P5" s="446"/>
      <c r="Q5" s="346"/>
      <c r="R5" s="333"/>
      <c r="S5" s="335"/>
      <c r="T5" s="335"/>
      <c r="U5" s="446"/>
      <c r="V5" s="333"/>
      <c r="W5" s="335"/>
      <c r="X5" s="446"/>
      <c r="Y5" s="205"/>
      <c r="Z5" s="333"/>
      <c r="AA5" s="335"/>
      <c r="AB5" s="446"/>
      <c r="AC5" s="333"/>
      <c r="AD5" s="333"/>
      <c r="AE5" s="333"/>
      <c r="AF5" s="346"/>
      <c r="AG5" s="351" t="s">
        <v>107</v>
      </c>
      <c r="AH5" s="683"/>
      <c r="AI5" s="683"/>
      <c r="AJ5" s="683"/>
      <c r="AK5" s="683"/>
      <c r="AL5" s="683"/>
      <c r="AM5" s="683"/>
      <c r="AN5" s="683"/>
      <c r="AO5" s="683"/>
      <c r="AP5" s="683"/>
      <c r="AQ5" s="684"/>
      <c r="AR5" s="351" t="s">
        <v>108</v>
      </c>
      <c r="AS5" s="683"/>
      <c r="AT5" s="683"/>
      <c r="AU5" s="683"/>
      <c r="AV5" s="683"/>
      <c r="AW5" s="683"/>
      <c r="AX5" s="683"/>
      <c r="AY5" s="683"/>
      <c r="AZ5" s="683"/>
      <c r="BA5" s="683"/>
      <c r="BB5" s="684"/>
      <c r="BC5" s="333"/>
      <c r="BD5" s="335"/>
      <c r="BE5" s="446"/>
      <c r="BF5" s="458" t="s">
        <v>109</v>
      </c>
      <c r="BG5" s="460"/>
      <c r="BH5" s="458" t="s">
        <v>111</v>
      </c>
      <c r="BI5" s="460"/>
      <c r="BJ5" s="458" t="s">
        <v>109</v>
      </c>
      <c r="BK5" s="460"/>
      <c r="BL5" s="458" t="s">
        <v>111</v>
      </c>
      <c r="BM5" s="460"/>
      <c r="BN5" s="338"/>
      <c r="BO5" s="343"/>
      <c r="BP5" s="343"/>
      <c r="BQ5" s="457"/>
      <c r="BR5" s="341"/>
      <c r="BS5" s="471"/>
      <c r="BT5" s="471"/>
      <c r="BU5" s="472"/>
      <c r="BV5" s="474" t="s">
        <v>112</v>
      </c>
      <c r="BW5" s="682"/>
      <c r="BX5" s="476" t="s">
        <v>113</v>
      </c>
      <c r="BY5" s="477"/>
      <c r="BZ5" s="338"/>
      <c r="CA5" s="343"/>
      <c r="CB5" s="457"/>
      <c r="CC5" s="333"/>
      <c r="CD5" s="335"/>
      <c r="CE5" s="335"/>
      <c r="CF5" s="335"/>
      <c r="CG5" s="335"/>
      <c r="CH5" s="335"/>
      <c r="CI5" s="335"/>
      <c r="CJ5" s="335"/>
      <c r="CK5" s="335"/>
      <c r="CL5" s="335"/>
      <c r="CM5" s="446"/>
      <c r="CN5" s="87"/>
      <c r="CO5" s="87"/>
      <c r="CP5" s="87"/>
      <c r="CQ5" s="87"/>
      <c r="CR5" s="87"/>
      <c r="CS5" s="87"/>
      <c r="CT5" s="87"/>
      <c r="CU5" s="87"/>
      <c r="CV5" s="87"/>
      <c r="CW5" s="87"/>
      <c r="CX5" s="87"/>
      <c r="CY5" s="77"/>
      <c r="CZ5" s="77"/>
      <c r="DA5" s="77"/>
      <c r="DB5" s="109"/>
      <c r="DC5" s="109"/>
      <c r="DD5" s="110"/>
    </row>
    <row r="6" spans="1:114" s="75" customFormat="1" ht="12.75" customHeight="1">
      <c r="A6" s="595"/>
      <c r="B6" s="596"/>
      <c r="C6" s="595"/>
      <c r="D6" s="597"/>
      <c r="E6" s="597"/>
      <c r="F6" s="597"/>
      <c r="G6" s="597"/>
      <c r="H6" s="596"/>
      <c r="I6" s="595"/>
      <c r="J6" s="597"/>
      <c r="K6" s="597"/>
      <c r="L6" s="596"/>
      <c r="M6" s="595"/>
      <c r="N6" s="597"/>
      <c r="O6" s="597"/>
      <c r="P6" s="596"/>
      <c r="Q6" s="156"/>
      <c r="R6" s="595"/>
      <c r="S6" s="597"/>
      <c r="T6" s="597"/>
      <c r="U6" s="596"/>
      <c r="V6" s="595"/>
      <c r="W6" s="597"/>
      <c r="X6" s="596"/>
      <c r="Y6" s="156"/>
      <c r="Z6" s="598"/>
      <c r="AA6" s="599"/>
      <c r="AB6" s="600"/>
      <c r="AC6" s="206"/>
      <c r="AD6" s="206"/>
      <c r="AE6" s="206"/>
      <c r="AF6" s="211"/>
      <c r="AG6" s="352"/>
      <c r="AH6" s="473"/>
      <c r="AI6" s="473"/>
      <c r="AJ6" s="473"/>
      <c r="AK6" s="473"/>
      <c r="AL6" s="473"/>
      <c r="AM6" s="473"/>
      <c r="AN6" s="473"/>
      <c r="AO6" s="473"/>
      <c r="AP6" s="473"/>
      <c r="AQ6" s="461"/>
      <c r="AR6" s="352"/>
      <c r="AS6" s="473"/>
      <c r="AT6" s="473"/>
      <c r="AU6" s="473"/>
      <c r="AV6" s="473"/>
      <c r="AW6" s="473"/>
      <c r="AX6" s="473"/>
      <c r="AY6" s="473"/>
      <c r="AZ6" s="473"/>
      <c r="BA6" s="473"/>
      <c r="BB6" s="461"/>
      <c r="BC6" s="601"/>
      <c r="BD6" s="602"/>
      <c r="BE6" s="603"/>
      <c r="BF6" s="598"/>
      <c r="BG6" s="600"/>
      <c r="BH6" s="598"/>
      <c r="BI6" s="600"/>
      <c r="BJ6" s="598"/>
      <c r="BK6" s="600"/>
      <c r="BL6" s="598"/>
      <c r="BM6" s="600"/>
      <c r="BN6" s="604"/>
      <c r="BO6" s="599"/>
      <c r="BP6" s="599"/>
      <c r="BQ6" s="600"/>
      <c r="BR6" s="604"/>
      <c r="BS6" s="599"/>
      <c r="BT6" s="599"/>
      <c r="BU6" s="600"/>
      <c r="BV6" s="685"/>
      <c r="BW6" s="686"/>
      <c r="BX6" s="685"/>
      <c r="BY6" s="686"/>
      <c r="BZ6" s="476"/>
      <c r="CA6" s="594"/>
      <c r="CB6" s="477"/>
      <c r="CC6" s="476"/>
      <c r="CD6" s="594"/>
      <c r="CE6" s="594"/>
      <c r="CF6" s="594"/>
      <c r="CG6" s="594"/>
      <c r="CH6" s="594"/>
      <c r="CI6" s="594"/>
      <c r="CJ6" s="594"/>
      <c r="CK6" s="594"/>
      <c r="CL6" s="594"/>
      <c r="CM6" s="477"/>
      <c r="CN6" s="87"/>
      <c r="CO6" s="87"/>
      <c r="CP6" s="87"/>
      <c r="CQ6" s="87"/>
      <c r="CR6" s="87"/>
      <c r="CS6" s="87"/>
      <c r="CT6" s="87"/>
      <c r="CU6" s="87"/>
      <c r="CV6" s="87"/>
      <c r="CW6" s="87"/>
      <c r="CX6" s="87"/>
      <c r="CY6" s="77"/>
      <c r="CZ6" s="77"/>
      <c r="DA6" s="77"/>
      <c r="DB6" s="109"/>
      <c r="DC6" s="109"/>
      <c r="DD6" s="110"/>
    </row>
    <row r="7" spans="1:114" s="87" customFormat="1" ht="25.65" customHeight="1">
      <c r="A7" s="614">
        <v>1</v>
      </c>
      <c r="B7" s="611"/>
      <c r="C7" s="641" t="s">
        <v>290</v>
      </c>
      <c r="D7" s="642"/>
      <c r="E7" s="642"/>
      <c r="F7" s="642"/>
      <c r="G7" s="642"/>
      <c r="H7" s="643"/>
      <c r="I7" s="554" t="s">
        <v>373</v>
      </c>
      <c r="J7" s="555"/>
      <c r="K7" s="555"/>
      <c r="L7" s="556"/>
      <c r="M7" s="677" t="s">
        <v>291</v>
      </c>
      <c r="N7" s="678"/>
      <c r="O7" s="678"/>
      <c r="P7" s="679"/>
      <c r="Q7" s="208" t="s">
        <v>374</v>
      </c>
      <c r="R7" s="677" t="s">
        <v>292</v>
      </c>
      <c r="S7" s="678"/>
      <c r="T7" s="678"/>
      <c r="U7" s="679"/>
      <c r="V7" s="554" t="s">
        <v>363</v>
      </c>
      <c r="W7" s="555"/>
      <c r="X7" s="556"/>
      <c r="Y7" s="171" t="s">
        <v>448</v>
      </c>
      <c r="Z7" s="639" t="s">
        <v>71</v>
      </c>
      <c r="AA7" s="640"/>
      <c r="AB7" s="633"/>
      <c r="AC7" s="209" t="s">
        <v>387</v>
      </c>
      <c r="AD7" s="209" t="s">
        <v>455</v>
      </c>
      <c r="AE7" s="209" t="s">
        <v>388</v>
      </c>
      <c r="AF7" s="171" t="s">
        <v>398</v>
      </c>
      <c r="AG7" s="674" t="s">
        <v>385</v>
      </c>
      <c r="AH7" s="675"/>
      <c r="AI7" s="675"/>
      <c r="AJ7" s="675"/>
      <c r="AK7" s="675"/>
      <c r="AL7" s="675"/>
      <c r="AM7" s="675"/>
      <c r="AN7" s="675"/>
      <c r="AO7" s="675"/>
      <c r="AP7" s="675"/>
      <c r="AQ7" s="676"/>
      <c r="AR7" s="674" t="s">
        <v>294</v>
      </c>
      <c r="AS7" s="675"/>
      <c r="AT7" s="675"/>
      <c r="AU7" s="675"/>
      <c r="AV7" s="675"/>
      <c r="AW7" s="675"/>
      <c r="AX7" s="675"/>
      <c r="AY7" s="675"/>
      <c r="AZ7" s="675"/>
      <c r="BA7" s="675"/>
      <c r="BB7" s="676"/>
      <c r="BC7" s="629">
        <f>680/1000</f>
        <v>0.68</v>
      </c>
      <c r="BD7" s="630"/>
      <c r="BE7" s="631"/>
      <c r="BF7" s="632" t="s">
        <v>386</v>
      </c>
      <c r="BG7" s="633"/>
      <c r="BH7" s="575">
        <v>25</v>
      </c>
      <c r="BI7" s="576"/>
      <c r="BJ7" s="573">
        <v>40</v>
      </c>
      <c r="BK7" s="574"/>
      <c r="BL7" s="575">
        <v>65</v>
      </c>
      <c r="BM7" s="576"/>
      <c r="BN7" s="609" t="s">
        <v>106</v>
      </c>
      <c r="BO7" s="610"/>
      <c r="BP7" s="610"/>
      <c r="BQ7" s="611"/>
      <c r="BR7" s="609" t="s">
        <v>106</v>
      </c>
      <c r="BS7" s="610"/>
      <c r="BT7" s="610"/>
      <c r="BU7" s="611"/>
      <c r="BV7" s="612" t="s">
        <v>81</v>
      </c>
      <c r="BW7" s="613"/>
      <c r="BX7" s="612" t="s">
        <v>295</v>
      </c>
      <c r="BY7" s="613"/>
      <c r="BZ7" s="641"/>
      <c r="CA7" s="642"/>
      <c r="CB7" s="643"/>
      <c r="CC7" s="641"/>
      <c r="CD7" s="642"/>
      <c r="CE7" s="642"/>
      <c r="CF7" s="642"/>
      <c r="CG7" s="642"/>
      <c r="CH7" s="642"/>
      <c r="CI7" s="642"/>
      <c r="CJ7" s="642"/>
      <c r="CK7" s="642"/>
      <c r="CL7" s="642"/>
      <c r="CM7" s="643"/>
      <c r="CT7" s="521"/>
      <c r="CU7" s="522"/>
      <c r="CV7" s="522"/>
      <c r="CW7" s="522"/>
      <c r="CX7" s="519"/>
      <c r="CY7" s="519"/>
      <c r="CZ7" s="519"/>
      <c r="DA7" s="520"/>
      <c r="DE7"/>
      <c r="DF7"/>
      <c r="DG7"/>
      <c r="DH7"/>
      <c r="DI7"/>
      <c r="DJ7"/>
    </row>
    <row r="8" spans="1:114" s="87" customFormat="1" ht="26.25" customHeight="1">
      <c r="A8" s="486">
        <f>A7+1</f>
        <v>2</v>
      </c>
      <c r="B8" s="487"/>
      <c r="C8" s="563" t="s">
        <v>290</v>
      </c>
      <c r="D8" s="564"/>
      <c r="E8" s="564"/>
      <c r="F8" s="564"/>
      <c r="G8" s="564"/>
      <c r="H8" s="565"/>
      <c r="I8" s="554" t="s">
        <v>373</v>
      </c>
      <c r="J8" s="555"/>
      <c r="K8" s="555"/>
      <c r="L8" s="556"/>
      <c r="M8" s="671" t="s">
        <v>291</v>
      </c>
      <c r="N8" s="672"/>
      <c r="O8" s="672"/>
      <c r="P8" s="673"/>
      <c r="Q8" s="208" t="s">
        <v>374</v>
      </c>
      <c r="R8" s="671" t="s">
        <v>296</v>
      </c>
      <c r="S8" s="672"/>
      <c r="T8" s="672"/>
      <c r="U8" s="673"/>
      <c r="V8" s="554" t="s">
        <v>363</v>
      </c>
      <c r="W8" s="555"/>
      <c r="X8" s="556"/>
      <c r="Y8" s="171" t="s">
        <v>448</v>
      </c>
      <c r="Z8" s="557" t="s">
        <v>71</v>
      </c>
      <c r="AA8" s="558"/>
      <c r="AB8" s="559"/>
      <c r="AC8" s="209" t="s">
        <v>387</v>
      </c>
      <c r="AD8" s="209" t="s">
        <v>455</v>
      </c>
      <c r="AE8" s="209" t="s">
        <v>388</v>
      </c>
      <c r="AF8" s="171" t="s">
        <v>399</v>
      </c>
      <c r="AG8" s="668" t="s">
        <v>456</v>
      </c>
      <c r="AH8" s="669"/>
      <c r="AI8" s="669"/>
      <c r="AJ8" s="669"/>
      <c r="AK8" s="669"/>
      <c r="AL8" s="669"/>
      <c r="AM8" s="669"/>
      <c r="AN8" s="669"/>
      <c r="AO8" s="669"/>
      <c r="AP8" s="669"/>
      <c r="AQ8" s="670"/>
      <c r="AR8" s="668" t="s">
        <v>297</v>
      </c>
      <c r="AS8" s="669"/>
      <c r="AT8" s="669"/>
      <c r="AU8" s="669"/>
      <c r="AV8" s="669"/>
      <c r="AW8" s="669"/>
      <c r="AX8" s="669"/>
      <c r="AY8" s="669"/>
      <c r="AZ8" s="669"/>
      <c r="BA8" s="669"/>
      <c r="BB8" s="670"/>
      <c r="BC8" s="629">
        <f t="shared" ref="BC8:BC10" si="0">680/1000</f>
        <v>0.68</v>
      </c>
      <c r="BD8" s="630"/>
      <c r="BE8" s="631"/>
      <c r="BF8" s="632" t="s">
        <v>386</v>
      </c>
      <c r="BG8" s="633"/>
      <c r="BH8" s="575">
        <v>25</v>
      </c>
      <c r="BI8" s="576"/>
      <c r="BJ8" s="573">
        <v>40</v>
      </c>
      <c r="BK8" s="574"/>
      <c r="BL8" s="575">
        <v>65</v>
      </c>
      <c r="BM8" s="576"/>
      <c r="BN8" s="566" t="s">
        <v>106</v>
      </c>
      <c r="BO8" s="306"/>
      <c r="BP8" s="306"/>
      <c r="BQ8" s="487"/>
      <c r="BR8" s="566" t="s">
        <v>106</v>
      </c>
      <c r="BS8" s="306"/>
      <c r="BT8" s="306"/>
      <c r="BU8" s="487"/>
      <c r="BV8" s="580" t="s">
        <v>81</v>
      </c>
      <c r="BW8" s="581"/>
      <c r="BX8" s="580" t="s">
        <v>295</v>
      </c>
      <c r="BY8" s="581"/>
      <c r="BZ8" s="563"/>
      <c r="CA8" s="564"/>
      <c r="CB8" s="565"/>
      <c r="CC8" s="563"/>
      <c r="CD8" s="564"/>
      <c r="CE8" s="564"/>
      <c r="CF8" s="564"/>
      <c r="CG8" s="564"/>
      <c r="CH8" s="564"/>
      <c r="CI8" s="564"/>
      <c r="CJ8" s="564"/>
      <c r="CK8" s="564"/>
      <c r="CL8" s="564"/>
      <c r="CM8" s="565"/>
      <c r="CT8" s="521"/>
      <c r="CU8" s="522"/>
      <c r="CV8" s="522"/>
      <c r="CW8" s="522"/>
      <c r="CX8" s="522"/>
      <c r="CY8" s="522"/>
      <c r="CZ8" s="522"/>
      <c r="DA8" s="523"/>
      <c r="DE8"/>
      <c r="DF8"/>
      <c r="DG8"/>
      <c r="DH8"/>
      <c r="DI8"/>
      <c r="DJ8"/>
    </row>
    <row r="9" spans="1:114" s="87" customFormat="1" ht="25.65" customHeight="1">
      <c r="A9" s="486">
        <f t="shared" ref="A9:A56" si="1">A8+1</f>
        <v>3</v>
      </c>
      <c r="B9" s="487"/>
      <c r="C9" s="563" t="s">
        <v>290</v>
      </c>
      <c r="D9" s="564"/>
      <c r="E9" s="564"/>
      <c r="F9" s="564"/>
      <c r="G9" s="564"/>
      <c r="H9" s="565"/>
      <c r="I9" s="551" t="s">
        <v>372</v>
      </c>
      <c r="J9" s="552"/>
      <c r="K9" s="552"/>
      <c r="L9" s="553"/>
      <c r="M9" s="671" t="s">
        <v>291</v>
      </c>
      <c r="N9" s="672"/>
      <c r="O9" s="672"/>
      <c r="P9" s="673"/>
      <c r="Q9" s="208" t="s">
        <v>374</v>
      </c>
      <c r="R9" s="671" t="s">
        <v>298</v>
      </c>
      <c r="S9" s="672"/>
      <c r="T9" s="672"/>
      <c r="U9" s="673"/>
      <c r="V9" s="554" t="s">
        <v>363</v>
      </c>
      <c r="W9" s="555"/>
      <c r="X9" s="556"/>
      <c r="Y9" s="171" t="s">
        <v>449</v>
      </c>
      <c r="Z9" s="557" t="s">
        <v>71</v>
      </c>
      <c r="AA9" s="558"/>
      <c r="AB9" s="559"/>
      <c r="AC9" s="209" t="s">
        <v>387</v>
      </c>
      <c r="AD9" s="209" t="s">
        <v>455</v>
      </c>
      <c r="AE9" s="209" t="s">
        <v>388</v>
      </c>
      <c r="AF9" s="171" t="s">
        <v>400</v>
      </c>
      <c r="AG9" s="668" t="s">
        <v>401</v>
      </c>
      <c r="AH9" s="669"/>
      <c r="AI9" s="669"/>
      <c r="AJ9" s="669"/>
      <c r="AK9" s="669"/>
      <c r="AL9" s="669"/>
      <c r="AM9" s="669"/>
      <c r="AN9" s="669"/>
      <c r="AO9" s="669"/>
      <c r="AP9" s="669"/>
      <c r="AQ9" s="670"/>
      <c r="AR9" s="668" t="s">
        <v>299</v>
      </c>
      <c r="AS9" s="669"/>
      <c r="AT9" s="669"/>
      <c r="AU9" s="669"/>
      <c r="AV9" s="669"/>
      <c r="AW9" s="669"/>
      <c r="AX9" s="669"/>
      <c r="AY9" s="669"/>
      <c r="AZ9" s="669"/>
      <c r="BA9" s="669"/>
      <c r="BB9" s="670"/>
      <c r="BC9" s="629">
        <f t="shared" si="0"/>
        <v>0.68</v>
      </c>
      <c r="BD9" s="630"/>
      <c r="BE9" s="631"/>
      <c r="BF9" s="632" t="s">
        <v>386</v>
      </c>
      <c r="BG9" s="633"/>
      <c r="BH9" s="575">
        <v>25</v>
      </c>
      <c r="BI9" s="576"/>
      <c r="BJ9" s="573">
        <v>40</v>
      </c>
      <c r="BK9" s="574"/>
      <c r="BL9" s="575">
        <v>65</v>
      </c>
      <c r="BM9" s="576"/>
      <c r="BN9" s="566" t="s">
        <v>106</v>
      </c>
      <c r="BO9" s="306"/>
      <c r="BP9" s="306"/>
      <c r="BQ9" s="487"/>
      <c r="BR9" s="566" t="s">
        <v>106</v>
      </c>
      <c r="BS9" s="306"/>
      <c r="BT9" s="306"/>
      <c r="BU9" s="487"/>
      <c r="BV9" s="580" t="s">
        <v>81</v>
      </c>
      <c r="BW9" s="581"/>
      <c r="BX9" s="580" t="s">
        <v>295</v>
      </c>
      <c r="BY9" s="581"/>
      <c r="BZ9" s="563"/>
      <c r="CA9" s="564"/>
      <c r="CB9" s="565"/>
      <c r="CC9" s="563"/>
      <c r="CD9" s="564"/>
      <c r="CE9" s="564"/>
      <c r="CF9" s="564"/>
      <c r="CG9" s="564"/>
      <c r="CH9" s="564"/>
      <c r="CI9" s="564"/>
      <c r="CJ9" s="564"/>
      <c r="CK9" s="564"/>
      <c r="CL9" s="564"/>
      <c r="CM9" s="565"/>
      <c r="CT9" s="521"/>
      <c r="CU9" s="522"/>
      <c r="CV9" s="522"/>
      <c r="CW9" s="522"/>
      <c r="CX9" s="522"/>
      <c r="CY9" s="522"/>
      <c r="CZ9" s="522"/>
      <c r="DA9" s="523"/>
      <c r="DE9"/>
      <c r="DF9"/>
      <c r="DG9"/>
      <c r="DH9"/>
      <c r="DI9"/>
      <c r="DJ9"/>
    </row>
    <row r="10" spans="1:114" s="87" customFormat="1" ht="25.65" customHeight="1">
      <c r="A10" s="486">
        <f t="shared" si="1"/>
        <v>4</v>
      </c>
      <c r="B10" s="487"/>
      <c r="C10" s="563" t="s">
        <v>290</v>
      </c>
      <c r="D10" s="564"/>
      <c r="E10" s="564"/>
      <c r="F10" s="564"/>
      <c r="G10" s="564"/>
      <c r="H10" s="565"/>
      <c r="I10" s="551" t="s">
        <v>372</v>
      </c>
      <c r="J10" s="552"/>
      <c r="K10" s="552"/>
      <c r="L10" s="553"/>
      <c r="M10" s="671" t="s">
        <v>291</v>
      </c>
      <c r="N10" s="672"/>
      <c r="O10" s="672"/>
      <c r="P10" s="673"/>
      <c r="Q10" s="208" t="s">
        <v>374</v>
      </c>
      <c r="R10" s="671" t="s">
        <v>300</v>
      </c>
      <c r="S10" s="672"/>
      <c r="T10" s="672"/>
      <c r="U10" s="673"/>
      <c r="V10" s="554" t="s">
        <v>363</v>
      </c>
      <c r="W10" s="555"/>
      <c r="X10" s="556"/>
      <c r="Y10" s="171" t="s">
        <v>449</v>
      </c>
      <c r="Z10" s="557" t="s">
        <v>71</v>
      </c>
      <c r="AA10" s="558"/>
      <c r="AB10" s="559"/>
      <c r="AC10" s="209" t="s">
        <v>387</v>
      </c>
      <c r="AD10" s="209" t="s">
        <v>455</v>
      </c>
      <c r="AE10" s="209" t="s">
        <v>388</v>
      </c>
      <c r="AF10" s="171" t="s">
        <v>401</v>
      </c>
      <c r="AG10" s="668" t="s">
        <v>301</v>
      </c>
      <c r="AH10" s="669"/>
      <c r="AI10" s="669"/>
      <c r="AJ10" s="669"/>
      <c r="AK10" s="669"/>
      <c r="AL10" s="669"/>
      <c r="AM10" s="669"/>
      <c r="AN10" s="669"/>
      <c r="AO10" s="669"/>
      <c r="AP10" s="669"/>
      <c r="AQ10" s="670"/>
      <c r="AR10" s="668" t="s">
        <v>302</v>
      </c>
      <c r="AS10" s="669"/>
      <c r="AT10" s="669"/>
      <c r="AU10" s="669"/>
      <c r="AV10" s="669"/>
      <c r="AW10" s="669"/>
      <c r="AX10" s="669"/>
      <c r="AY10" s="669"/>
      <c r="AZ10" s="669"/>
      <c r="BA10" s="669"/>
      <c r="BB10" s="670"/>
      <c r="BC10" s="629">
        <f t="shared" si="0"/>
        <v>0.68</v>
      </c>
      <c r="BD10" s="630"/>
      <c r="BE10" s="631"/>
      <c r="BF10" s="632" t="s">
        <v>386</v>
      </c>
      <c r="BG10" s="633"/>
      <c r="BH10" s="575">
        <v>25</v>
      </c>
      <c r="BI10" s="576"/>
      <c r="BJ10" s="573">
        <v>40</v>
      </c>
      <c r="BK10" s="574"/>
      <c r="BL10" s="575">
        <v>65</v>
      </c>
      <c r="BM10" s="576"/>
      <c r="BN10" s="566" t="s">
        <v>106</v>
      </c>
      <c r="BO10" s="306"/>
      <c r="BP10" s="306"/>
      <c r="BQ10" s="487"/>
      <c r="BR10" s="566" t="s">
        <v>106</v>
      </c>
      <c r="BS10" s="306"/>
      <c r="BT10" s="306"/>
      <c r="BU10" s="487"/>
      <c r="BV10" s="580" t="s">
        <v>81</v>
      </c>
      <c r="BW10" s="581"/>
      <c r="BX10" s="580" t="s">
        <v>295</v>
      </c>
      <c r="BY10" s="581"/>
      <c r="BZ10" s="563"/>
      <c r="CA10" s="564"/>
      <c r="CB10" s="565"/>
      <c r="CC10" s="563"/>
      <c r="CD10" s="564"/>
      <c r="CE10" s="564"/>
      <c r="CF10" s="564"/>
      <c r="CG10" s="564"/>
      <c r="CH10" s="564"/>
      <c r="CI10" s="564"/>
      <c r="CJ10" s="564"/>
      <c r="CK10" s="564"/>
      <c r="CL10" s="564"/>
      <c r="CM10" s="565"/>
      <c r="CT10" s="518"/>
      <c r="CU10" s="519"/>
      <c r="CV10" s="519"/>
      <c r="CW10" s="519"/>
      <c r="CX10" s="519"/>
      <c r="CY10" s="519"/>
      <c r="CZ10" s="519"/>
      <c r="DA10" s="520"/>
    </row>
    <row r="11" spans="1:114" s="87" customFormat="1" ht="25.65" customHeight="1">
      <c r="A11" s="486">
        <f t="shared" si="1"/>
        <v>5</v>
      </c>
      <c r="B11" s="487"/>
      <c r="C11" s="563" t="s">
        <v>290</v>
      </c>
      <c r="D11" s="564"/>
      <c r="E11" s="564"/>
      <c r="F11" s="564"/>
      <c r="G11" s="564"/>
      <c r="H11" s="565"/>
      <c r="I11" s="551" t="s">
        <v>372</v>
      </c>
      <c r="J11" s="552"/>
      <c r="K11" s="552"/>
      <c r="L11" s="553"/>
      <c r="M11" s="671" t="s">
        <v>291</v>
      </c>
      <c r="N11" s="672"/>
      <c r="O11" s="672"/>
      <c r="P11" s="673"/>
      <c r="Q11" s="208" t="s">
        <v>374</v>
      </c>
      <c r="R11" s="671" t="s">
        <v>303</v>
      </c>
      <c r="S11" s="672"/>
      <c r="T11" s="672"/>
      <c r="U11" s="673"/>
      <c r="V11" s="554" t="s">
        <v>363</v>
      </c>
      <c r="W11" s="555"/>
      <c r="X11" s="556"/>
      <c r="Y11" s="171" t="s">
        <v>449</v>
      </c>
      <c r="Z11" s="557" t="s">
        <v>29</v>
      </c>
      <c r="AA11" s="558"/>
      <c r="AB11" s="559"/>
      <c r="AC11" s="209" t="s">
        <v>387</v>
      </c>
      <c r="AD11" s="209" t="s">
        <v>455</v>
      </c>
      <c r="AE11" s="209" t="s">
        <v>388</v>
      </c>
      <c r="AF11" s="171" t="s">
        <v>402</v>
      </c>
      <c r="AG11" s="668" t="s">
        <v>302</v>
      </c>
      <c r="AH11" s="669"/>
      <c r="AI11" s="669"/>
      <c r="AJ11" s="669"/>
      <c r="AK11" s="669"/>
      <c r="AL11" s="669"/>
      <c r="AM11" s="669"/>
      <c r="AN11" s="669"/>
      <c r="AO11" s="669"/>
      <c r="AP11" s="669"/>
      <c r="AQ11" s="670"/>
      <c r="AR11" s="668" t="s">
        <v>406</v>
      </c>
      <c r="AS11" s="669"/>
      <c r="AT11" s="669"/>
      <c r="AU11" s="669"/>
      <c r="AV11" s="669"/>
      <c r="AW11" s="669"/>
      <c r="AX11" s="669"/>
      <c r="AY11" s="669"/>
      <c r="AZ11" s="669"/>
      <c r="BA11" s="669"/>
      <c r="BB11" s="670"/>
      <c r="BC11" s="570">
        <v>7.0000000000000001E-3</v>
      </c>
      <c r="BD11" s="571"/>
      <c r="BE11" s="572"/>
      <c r="BF11" s="573">
        <v>14</v>
      </c>
      <c r="BG11" s="574"/>
      <c r="BH11" s="575">
        <v>25</v>
      </c>
      <c r="BI11" s="576"/>
      <c r="BJ11" s="573">
        <v>40</v>
      </c>
      <c r="BK11" s="574"/>
      <c r="BL11" s="575">
        <v>65</v>
      </c>
      <c r="BM11" s="576"/>
      <c r="BN11" s="566" t="s">
        <v>106</v>
      </c>
      <c r="BO11" s="306"/>
      <c r="BP11" s="306"/>
      <c r="BQ11" s="487"/>
      <c r="BR11" s="566" t="s">
        <v>106</v>
      </c>
      <c r="BS11" s="306"/>
      <c r="BT11" s="306"/>
      <c r="BU11" s="487"/>
      <c r="BV11" s="580" t="s">
        <v>81</v>
      </c>
      <c r="BW11" s="581"/>
      <c r="BX11" s="580" t="s">
        <v>295</v>
      </c>
      <c r="BY11" s="581"/>
      <c r="BZ11" s="563"/>
      <c r="CA11" s="564"/>
      <c r="CB11" s="565"/>
      <c r="CC11" s="563"/>
      <c r="CD11" s="564"/>
      <c r="CE11" s="564"/>
      <c r="CF11" s="564"/>
      <c r="CG11" s="564"/>
      <c r="CH11" s="564"/>
      <c r="CI11" s="564"/>
      <c r="CJ11" s="564"/>
      <c r="CK11" s="564"/>
      <c r="CL11" s="564"/>
      <c r="CM11" s="565"/>
      <c r="CT11" s="518"/>
      <c r="CU11" s="519"/>
      <c r="CV11" s="519"/>
      <c r="CW11" s="519"/>
      <c r="CX11" s="519"/>
      <c r="CY11" s="519"/>
      <c r="CZ11" s="519"/>
      <c r="DA11" s="520"/>
    </row>
    <row r="12" spans="1:114" s="111" customFormat="1" ht="25.65" customHeight="1">
      <c r="A12" s="486">
        <f t="shared" si="1"/>
        <v>6</v>
      </c>
      <c r="B12" s="487"/>
      <c r="C12" s="563" t="s">
        <v>290</v>
      </c>
      <c r="D12" s="564"/>
      <c r="E12" s="564"/>
      <c r="F12" s="564"/>
      <c r="G12" s="564"/>
      <c r="H12" s="565"/>
      <c r="I12" s="551" t="s">
        <v>372</v>
      </c>
      <c r="J12" s="552"/>
      <c r="K12" s="552"/>
      <c r="L12" s="553"/>
      <c r="M12" s="671" t="s">
        <v>291</v>
      </c>
      <c r="N12" s="672"/>
      <c r="O12" s="672"/>
      <c r="P12" s="673"/>
      <c r="Q12" s="208" t="s">
        <v>374</v>
      </c>
      <c r="R12" s="671" t="s">
        <v>304</v>
      </c>
      <c r="S12" s="672"/>
      <c r="T12" s="672"/>
      <c r="U12" s="673"/>
      <c r="V12" s="554" t="s">
        <v>363</v>
      </c>
      <c r="W12" s="555"/>
      <c r="X12" s="556"/>
      <c r="Y12" s="171" t="s">
        <v>449</v>
      </c>
      <c r="Z12" s="557" t="s">
        <v>29</v>
      </c>
      <c r="AA12" s="558"/>
      <c r="AB12" s="559"/>
      <c r="AC12" s="209" t="s">
        <v>387</v>
      </c>
      <c r="AD12" s="209" t="s">
        <v>455</v>
      </c>
      <c r="AE12" s="209" t="s">
        <v>388</v>
      </c>
      <c r="AF12" s="171" t="s">
        <v>403</v>
      </c>
      <c r="AG12" s="668" t="s">
        <v>311</v>
      </c>
      <c r="AH12" s="669"/>
      <c r="AI12" s="669"/>
      <c r="AJ12" s="669"/>
      <c r="AK12" s="669"/>
      <c r="AL12" s="669"/>
      <c r="AM12" s="669"/>
      <c r="AN12" s="669"/>
      <c r="AO12" s="669"/>
      <c r="AP12" s="669"/>
      <c r="AQ12" s="670"/>
      <c r="AR12" s="668" t="s">
        <v>302</v>
      </c>
      <c r="AS12" s="669"/>
      <c r="AT12" s="669"/>
      <c r="AU12" s="669"/>
      <c r="AV12" s="669"/>
      <c r="AW12" s="669"/>
      <c r="AX12" s="669"/>
      <c r="AY12" s="669"/>
      <c r="AZ12" s="669"/>
      <c r="BA12" s="669"/>
      <c r="BB12" s="670"/>
      <c r="BC12" s="570">
        <v>7.0000000000000001E-3</v>
      </c>
      <c r="BD12" s="571"/>
      <c r="BE12" s="572"/>
      <c r="BF12" s="573">
        <v>14</v>
      </c>
      <c r="BG12" s="574"/>
      <c r="BH12" s="575">
        <v>25</v>
      </c>
      <c r="BI12" s="576"/>
      <c r="BJ12" s="573">
        <v>40</v>
      </c>
      <c r="BK12" s="574"/>
      <c r="BL12" s="575">
        <v>65</v>
      </c>
      <c r="BM12" s="576"/>
      <c r="BN12" s="566" t="s">
        <v>106</v>
      </c>
      <c r="BO12" s="306"/>
      <c r="BP12" s="306"/>
      <c r="BQ12" s="487"/>
      <c r="BR12" s="566" t="s">
        <v>106</v>
      </c>
      <c r="BS12" s="306"/>
      <c r="BT12" s="306"/>
      <c r="BU12" s="487"/>
      <c r="BV12" s="580" t="s">
        <v>81</v>
      </c>
      <c r="BW12" s="581"/>
      <c r="BX12" s="580" t="s">
        <v>295</v>
      </c>
      <c r="BY12" s="581"/>
      <c r="BZ12" s="563"/>
      <c r="CA12" s="564"/>
      <c r="CB12" s="565"/>
      <c r="CC12" s="563"/>
      <c r="CD12" s="564"/>
      <c r="CE12" s="564"/>
      <c r="CF12" s="564"/>
      <c r="CG12" s="564"/>
      <c r="CH12" s="564"/>
      <c r="CI12" s="564"/>
      <c r="CJ12" s="564"/>
      <c r="CK12" s="564"/>
      <c r="CL12" s="564"/>
      <c r="CM12" s="565"/>
    </row>
    <row r="13" spans="1:114" s="87" customFormat="1" ht="25.65" customHeight="1">
      <c r="A13" s="486">
        <f t="shared" si="1"/>
        <v>7</v>
      </c>
      <c r="B13" s="487"/>
      <c r="C13" s="563" t="s">
        <v>290</v>
      </c>
      <c r="D13" s="564"/>
      <c r="E13" s="564"/>
      <c r="F13" s="564"/>
      <c r="G13" s="564"/>
      <c r="H13" s="565"/>
      <c r="I13" s="551" t="s">
        <v>372</v>
      </c>
      <c r="J13" s="552"/>
      <c r="K13" s="552"/>
      <c r="L13" s="553"/>
      <c r="M13" s="671" t="s">
        <v>291</v>
      </c>
      <c r="N13" s="672"/>
      <c r="O13" s="672"/>
      <c r="P13" s="673"/>
      <c r="Q13" s="208" t="s">
        <v>374</v>
      </c>
      <c r="R13" s="671" t="s">
        <v>305</v>
      </c>
      <c r="S13" s="672"/>
      <c r="T13" s="672"/>
      <c r="U13" s="673"/>
      <c r="V13" s="554" t="s">
        <v>363</v>
      </c>
      <c r="W13" s="555"/>
      <c r="X13" s="556"/>
      <c r="Y13" s="171" t="s">
        <v>449</v>
      </c>
      <c r="Z13" s="557" t="s">
        <v>71</v>
      </c>
      <c r="AA13" s="558"/>
      <c r="AB13" s="559"/>
      <c r="AC13" s="209" t="s">
        <v>387</v>
      </c>
      <c r="AD13" s="209" t="s">
        <v>455</v>
      </c>
      <c r="AE13" s="209" t="s">
        <v>388</v>
      </c>
      <c r="AF13" s="171" t="s">
        <v>404</v>
      </c>
      <c r="AG13" s="668" t="s">
        <v>297</v>
      </c>
      <c r="AH13" s="669"/>
      <c r="AI13" s="669"/>
      <c r="AJ13" s="669"/>
      <c r="AK13" s="669"/>
      <c r="AL13" s="669"/>
      <c r="AM13" s="669"/>
      <c r="AN13" s="669"/>
      <c r="AO13" s="669"/>
      <c r="AP13" s="669"/>
      <c r="AQ13" s="670"/>
      <c r="AR13" s="668" t="s">
        <v>401</v>
      </c>
      <c r="AS13" s="669"/>
      <c r="AT13" s="669"/>
      <c r="AU13" s="669"/>
      <c r="AV13" s="669"/>
      <c r="AW13" s="669"/>
      <c r="AX13" s="669"/>
      <c r="AY13" s="669"/>
      <c r="AZ13" s="669"/>
      <c r="BA13" s="669"/>
      <c r="BB13" s="670"/>
      <c r="BC13" s="629">
        <f t="shared" ref="BC13:BC14" si="2">680/1000</f>
        <v>0.68</v>
      </c>
      <c r="BD13" s="630"/>
      <c r="BE13" s="631"/>
      <c r="BF13" s="632" t="s">
        <v>386</v>
      </c>
      <c r="BG13" s="633"/>
      <c r="BH13" s="575">
        <v>25</v>
      </c>
      <c r="BI13" s="576"/>
      <c r="BJ13" s="573">
        <v>40</v>
      </c>
      <c r="BK13" s="574"/>
      <c r="BL13" s="575">
        <v>65</v>
      </c>
      <c r="BM13" s="576"/>
      <c r="BN13" s="566" t="s">
        <v>106</v>
      </c>
      <c r="BO13" s="306"/>
      <c r="BP13" s="306"/>
      <c r="BQ13" s="487"/>
      <c r="BR13" s="566" t="s">
        <v>106</v>
      </c>
      <c r="BS13" s="306"/>
      <c r="BT13" s="306"/>
      <c r="BU13" s="487"/>
      <c r="BV13" s="580" t="s">
        <v>81</v>
      </c>
      <c r="BW13" s="581"/>
      <c r="BX13" s="580" t="s">
        <v>295</v>
      </c>
      <c r="BY13" s="581"/>
      <c r="BZ13" s="563"/>
      <c r="CA13" s="564"/>
      <c r="CB13" s="565"/>
      <c r="CC13" s="563"/>
      <c r="CD13" s="564"/>
      <c r="CE13" s="564"/>
      <c r="CF13" s="564"/>
      <c r="CG13" s="564"/>
      <c r="CH13" s="564"/>
      <c r="CI13" s="564"/>
      <c r="CJ13" s="564"/>
      <c r="CK13" s="564"/>
      <c r="CL13" s="564"/>
      <c r="CM13" s="565"/>
    </row>
    <row r="14" spans="1:114" s="87" customFormat="1" ht="25.65" customHeight="1">
      <c r="A14" s="486">
        <f t="shared" si="1"/>
        <v>8</v>
      </c>
      <c r="B14" s="487"/>
      <c r="C14" s="563" t="s">
        <v>290</v>
      </c>
      <c r="D14" s="564"/>
      <c r="E14" s="564"/>
      <c r="F14" s="564"/>
      <c r="G14" s="564"/>
      <c r="H14" s="565"/>
      <c r="I14" s="551" t="s">
        <v>372</v>
      </c>
      <c r="J14" s="552"/>
      <c r="K14" s="552"/>
      <c r="L14" s="553"/>
      <c r="M14" s="671" t="s">
        <v>291</v>
      </c>
      <c r="N14" s="672"/>
      <c r="O14" s="672"/>
      <c r="P14" s="673"/>
      <c r="Q14" s="208" t="s">
        <v>374</v>
      </c>
      <c r="R14" s="671" t="s">
        <v>377</v>
      </c>
      <c r="S14" s="672"/>
      <c r="T14" s="672"/>
      <c r="U14" s="673"/>
      <c r="V14" s="554" t="s">
        <v>363</v>
      </c>
      <c r="W14" s="555"/>
      <c r="X14" s="556"/>
      <c r="Y14" s="171" t="s">
        <v>449</v>
      </c>
      <c r="Z14" s="557" t="s">
        <v>71</v>
      </c>
      <c r="AA14" s="558"/>
      <c r="AB14" s="559"/>
      <c r="AC14" s="209" t="s">
        <v>387</v>
      </c>
      <c r="AD14" s="209" t="s">
        <v>455</v>
      </c>
      <c r="AE14" s="209" t="s">
        <v>388</v>
      </c>
      <c r="AF14" s="171" t="s">
        <v>405</v>
      </c>
      <c r="AG14" s="668" t="s">
        <v>398</v>
      </c>
      <c r="AH14" s="669"/>
      <c r="AI14" s="669"/>
      <c r="AJ14" s="669"/>
      <c r="AK14" s="669"/>
      <c r="AL14" s="669"/>
      <c r="AM14" s="669"/>
      <c r="AN14" s="669"/>
      <c r="AO14" s="669"/>
      <c r="AP14" s="669"/>
      <c r="AQ14" s="670"/>
      <c r="AR14" s="668" t="s">
        <v>401</v>
      </c>
      <c r="AS14" s="669"/>
      <c r="AT14" s="669"/>
      <c r="AU14" s="669"/>
      <c r="AV14" s="669"/>
      <c r="AW14" s="669"/>
      <c r="AX14" s="669"/>
      <c r="AY14" s="669"/>
      <c r="AZ14" s="669"/>
      <c r="BA14" s="669"/>
      <c r="BB14" s="670"/>
      <c r="BC14" s="629">
        <f t="shared" si="2"/>
        <v>0.68</v>
      </c>
      <c r="BD14" s="630"/>
      <c r="BE14" s="631"/>
      <c r="BF14" s="632" t="s">
        <v>386</v>
      </c>
      <c r="BG14" s="633"/>
      <c r="BH14" s="575">
        <v>25</v>
      </c>
      <c r="BI14" s="576"/>
      <c r="BJ14" s="573">
        <v>40</v>
      </c>
      <c r="BK14" s="574"/>
      <c r="BL14" s="575">
        <v>65</v>
      </c>
      <c r="BM14" s="576"/>
      <c r="BN14" s="566" t="s">
        <v>106</v>
      </c>
      <c r="BO14" s="306"/>
      <c r="BP14" s="306"/>
      <c r="BQ14" s="487"/>
      <c r="BR14" s="566" t="s">
        <v>106</v>
      </c>
      <c r="BS14" s="306"/>
      <c r="BT14" s="306"/>
      <c r="BU14" s="487"/>
      <c r="BV14" s="580" t="s">
        <v>81</v>
      </c>
      <c r="BW14" s="581"/>
      <c r="BX14" s="580" t="s">
        <v>295</v>
      </c>
      <c r="BY14" s="581"/>
      <c r="BZ14" s="563"/>
      <c r="CA14" s="564"/>
      <c r="CB14" s="565"/>
      <c r="CC14" s="563"/>
      <c r="CD14" s="564"/>
      <c r="CE14" s="564"/>
      <c r="CF14" s="564"/>
      <c r="CG14" s="564"/>
      <c r="CH14" s="564"/>
      <c r="CI14" s="564"/>
      <c r="CJ14" s="564"/>
      <c r="CK14" s="564"/>
      <c r="CL14" s="564"/>
      <c r="CM14" s="565"/>
    </row>
    <row r="15" spans="1:114" s="87" customFormat="1" ht="25.65" customHeight="1">
      <c r="A15" s="486">
        <f t="shared" si="1"/>
        <v>9</v>
      </c>
      <c r="B15" s="487"/>
      <c r="C15" s="563" t="s">
        <v>290</v>
      </c>
      <c r="D15" s="564"/>
      <c r="E15" s="564"/>
      <c r="F15" s="564"/>
      <c r="G15" s="564"/>
      <c r="H15" s="565"/>
      <c r="I15" s="551" t="s">
        <v>372</v>
      </c>
      <c r="J15" s="552"/>
      <c r="K15" s="552"/>
      <c r="L15" s="553"/>
      <c r="M15" s="551" t="s">
        <v>306</v>
      </c>
      <c r="N15" s="552"/>
      <c r="O15" s="552"/>
      <c r="P15" s="553"/>
      <c r="Q15" s="208" t="s">
        <v>374</v>
      </c>
      <c r="R15" s="551" t="s">
        <v>307</v>
      </c>
      <c r="S15" s="552"/>
      <c r="T15" s="552"/>
      <c r="U15" s="553"/>
      <c r="V15" s="554" t="s">
        <v>363</v>
      </c>
      <c r="W15" s="555"/>
      <c r="X15" s="556"/>
      <c r="Y15" s="171" t="s">
        <v>449</v>
      </c>
      <c r="Z15" s="557" t="s">
        <v>29</v>
      </c>
      <c r="AA15" s="558"/>
      <c r="AB15" s="559"/>
      <c r="AC15" s="209" t="s">
        <v>387</v>
      </c>
      <c r="AD15" s="209" t="s">
        <v>455</v>
      </c>
      <c r="AE15" s="209" t="s">
        <v>388</v>
      </c>
      <c r="AF15" s="171" t="s">
        <v>406</v>
      </c>
      <c r="AG15" s="668" t="s">
        <v>308</v>
      </c>
      <c r="AH15" s="669"/>
      <c r="AI15" s="669"/>
      <c r="AJ15" s="669"/>
      <c r="AK15" s="669"/>
      <c r="AL15" s="669"/>
      <c r="AM15" s="669"/>
      <c r="AN15" s="669"/>
      <c r="AO15" s="669"/>
      <c r="AP15" s="669"/>
      <c r="AQ15" s="670"/>
      <c r="AR15" s="557" t="s">
        <v>293</v>
      </c>
      <c r="AS15" s="558"/>
      <c r="AT15" s="558"/>
      <c r="AU15" s="558"/>
      <c r="AV15" s="558"/>
      <c r="AW15" s="558"/>
      <c r="AX15" s="558"/>
      <c r="AY15" s="558"/>
      <c r="AZ15" s="558"/>
      <c r="BA15" s="558"/>
      <c r="BB15" s="559"/>
      <c r="BC15" s="570">
        <v>7.0000000000000001E-3</v>
      </c>
      <c r="BD15" s="571"/>
      <c r="BE15" s="572"/>
      <c r="BF15" s="573">
        <v>14</v>
      </c>
      <c r="BG15" s="574"/>
      <c r="BH15" s="575">
        <v>25</v>
      </c>
      <c r="BI15" s="576"/>
      <c r="BJ15" s="573">
        <v>40</v>
      </c>
      <c r="BK15" s="574"/>
      <c r="BL15" s="575">
        <v>65</v>
      </c>
      <c r="BM15" s="576"/>
      <c r="BN15" s="566" t="s">
        <v>106</v>
      </c>
      <c r="BO15" s="306"/>
      <c r="BP15" s="306"/>
      <c r="BQ15" s="487"/>
      <c r="BR15" s="566" t="s">
        <v>106</v>
      </c>
      <c r="BS15" s="306"/>
      <c r="BT15" s="306"/>
      <c r="BU15" s="487"/>
      <c r="BV15" s="580" t="s">
        <v>81</v>
      </c>
      <c r="BW15" s="581"/>
      <c r="BX15" s="580" t="s">
        <v>295</v>
      </c>
      <c r="BY15" s="581"/>
      <c r="BZ15" s="563"/>
      <c r="CA15" s="564"/>
      <c r="CB15" s="565"/>
      <c r="CC15" s="563"/>
      <c r="CD15" s="564"/>
      <c r="CE15" s="564"/>
      <c r="CF15" s="564"/>
      <c r="CG15" s="564"/>
      <c r="CH15" s="564"/>
      <c r="CI15" s="564"/>
      <c r="CJ15" s="564"/>
      <c r="CK15" s="564"/>
      <c r="CL15" s="564"/>
      <c r="CM15" s="565"/>
      <c r="CT15" s="202">
        <f>6.19*0.0012</f>
        <v>7.4279999999999997E-3</v>
      </c>
    </row>
    <row r="16" spans="1:114" s="87" customFormat="1" ht="25.65" customHeight="1">
      <c r="A16" s="486">
        <f t="shared" si="1"/>
        <v>10</v>
      </c>
      <c r="B16" s="487"/>
      <c r="C16" s="563" t="s">
        <v>290</v>
      </c>
      <c r="D16" s="564"/>
      <c r="E16" s="564"/>
      <c r="F16" s="564"/>
      <c r="G16" s="564"/>
      <c r="H16" s="565"/>
      <c r="I16" s="551" t="s">
        <v>372</v>
      </c>
      <c r="J16" s="552"/>
      <c r="K16" s="552"/>
      <c r="L16" s="553"/>
      <c r="M16" s="551" t="s">
        <v>306</v>
      </c>
      <c r="N16" s="552"/>
      <c r="O16" s="552"/>
      <c r="P16" s="553"/>
      <c r="Q16" s="208" t="s">
        <v>374</v>
      </c>
      <c r="R16" s="671" t="s">
        <v>309</v>
      </c>
      <c r="S16" s="672"/>
      <c r="T16" s="672"/>
      <c r="U16" s="673"/>
      <c r="V16" s="554" t="s">
        <v>363</v>
      </c>
      <c r="W16" s="555"/>
      <c r="X16" s="556"/>
      <c r="Y16" s="171" t="s">
        <v>449</v>
      </c>
      <c r="Z16" s="557" t="s">
        <v>29</v>
      </c>
      <c r="AA16" s="558"/>
      <c r="AB16" s="559"/>
      <c r="AC16" s="209" t="s">
        <v>387</v>
      </c>
      <c r="AD16" s="209" t="s">
        <v>455</v>
      </c>
      <c r="AE16" s="209" t="s">
        <v>388</v>
      </c>
      <c r="AF16" s="171" t="s">
        <v>407</v>
      </c>
      <c r="AG16" s="668" t="s">
        <v>403</v>
      </c>
      <c r="AH16" s="669"/>
      <c r="AI16" s="669"/>
      <c r="AJ16" s="669"/>
      <c r="AK16" s="669"/>
      <c r="AL16" s="669"/>
      <c r="AM16" s="669"/>
      <c r="AN16" s="669"/>
      <c r="AO16" s="669"/>
      <c r="AP16" s="669"/>
      <c r="AQ16" s="670"/>
      <c r="AR16" s="668" t="s">
        <v>299</v>
      </c>
      <c r="AS16" s="669"/>
      <c r="AT16" s="669"/>
      <c r="AU16" s="669"/>
      <c r="AV16" s="669"/>
      <c r="AW16" s="669"/>
      <c r="AX16" s="669"/>
      <c r="AY16" s="669"/>
      <c r="AZ16" s="669"/>
      <c r="BA16" s="669"/>
      <c r="BB16" s="670"/>
      <c r="BC16" s="570">
        <v>7.0000000000000001E-3</v>
      </c>
      <c r="BD16" s="571"/>
      <c r="BE16" s="572"/>
      <c r="BF16" s="573">
        <v>14</v>
      </c>
      <c r="BG16" s="574"/>
      <c r="BH16" s="575">
        <v>25</v>
      </c>
      <c r="BI16" s="576"/>
      <c r="BJ16" s="573">
        <v>40</v>
      </c>
      <c r="BK16" s="574"/>
      <c r="BL16" s="575">
        <v>65</v>
      </c>
      <c r="BM16" s="576"/>
      <c r="BN16" s="566" t="s">
        <v>106</v>
      </c>
      <c r="BO16" s="306"/>
      <c r="BP16" s="306"/>
      <c r="BQ16" s="487"/>
      <c r="BR16" s="566" t="s">
        <v>106</v>
      </c>
      <c r="BS16" s="306"/>
      <c r="BT16" s="306"/>
      <c r="BU16" s="487"/>
      <c r="BV16" s="580" t="s">
        <v>81</v>
      </c>
      <c r="BW16" s="581"/>
      <c r="BX16" s="580" t="s">
        <v>295</v>
      </c>
      <c r="BY16" s="581"/>
      <c r="BZ16" s="563"/>
      <c r="CA16" s="564"/>
      <c r="CB16" s="565"/>
      <c r="CC16" s="563"/>
      <c r="CD16" s="564"/>
      <c r="CE16" s="564"/>
      <c r="CF16" s="564"/>
      <c r="CG16" s="564"/>
      <c r="CH16" s="564"/>
      <c r="CI16" s="564"/>
      <c r="CJ16" s="564"/>
      <c r="CK16" s="564"/>
      <c r="CL16" s="564"/>
      <c r="CM16" s="565"/>
      <c r="CT16" s="203">
        <f>6.19/1000</f>
        <v>6.1900000000000002E-3</v>
      </c>
    </row>
    <row r="17" spans="1:101" s="111" customFormat="1" ht="25.65" customHeight="1">
      <c r="A17" s="486">
        <f t="shared" si="1"/>
        <v>11</v>
      </c>
      <c r="B17" s="487"/>
      <c r="C17" s="563" t="s">
        <v>290</v>
      </c>
      <c r="D17" s="564"/>
      <c r="E17" s="564"/>
      <c r="F17" s="564"/>
      <c r="G17" s="564"/>
      <c r="H17" s="565"/>
      <c r="I17" s="551" t="s">
        <v>372</v>
      </c>
      <c r="J17" s="552"/>
      <c r="K17" s="552"/>
      <c r="L17" s="553"/>
      <c r="M17" s="551" t="s">
        <v>306</v>
      </c>
      <c r="N17" s="552"/>
      <c r="O17" s="552"/>
      <c r="P17" s="553"/>
      <c r="Q17" s="208" t="s">
        <v>374</v>
      </c>
      <c r="R17" s="671" t="s">
        <v>315</v>
      </c>
      <c r="S17" s="672"/>
      <c r="T17" s="672"/>
      <c r="U17" s="673"/>
      <c r="V17" s="554" t="s">
        <v>363</v>
      </c>
      <c r="W17" s="555"/>
      <c r="X17" s="556"/>
      <c r="Y17" s="171" t="s">
        <v>449</v>
      </c>
      <c r="Z17" s="557" t="s">
        <v>29</v>
      </c>
      <c r="AA17" s="558"/>
      <c r="AB17" s="559"/>
      <c r="AC17" s="209" t="s">
        <v>387</v>
      </c>
      <c r="AD17" s="209" t="s">
        <v>455</v>
      </c>
      <c r="AE17" s="209" t="s">
        <v>388</v>
      </c>
      <c r="AF17" s="171" t="s">
        <v>408</v>
      </c>
      <c r="AG17" s="668" t="s">
        <v>302</v>
      </c>
      <c r="AH17" s="669"/>
      <c r="AI17" s="669"/>
      <c r="AJ17" s="669"/>
      <c r="AK17" s="669"/>
      <c r="AL17" s="669"/>
      <c r="AM17" s="669"/>
      <c r="AN17" s="669"/>
      <c r="AO17" s="669"/>
      <c r="AP17" s="669"/>
      <c r="AQ17" s="670"/>
      <c r="AR17" s="557" t="s">
        <v>316</v>
      </c>
      <c r="AS17" s="558"/>
      <c r="AT17" s="558"/>
      <c r="AU17" s="558"/>
      <c r="AV17" s="558"/>
      <c r="AW17" s="558"/>
      <c r="AX17" s="558"/>
      <c r="AY17" s="558"/>
      <c r="AZ17" s="558"/>
      <c r="BA17" s="558"/>
      <c r="BB17" s="559"/>
      <c r="BC17" s="570">
        <v>7.0000000000000001E-3</v>
      </c>
      <c r="BD17" s="571"/>
      <c r="BE17" s="572"/>
      <c r="BF17" s="573">
        <v>14</v>
      </c>
      <c r="BG17" s="574"/>
      <c r="BH17" s="575">
        <v>25</v>
      </c>
      <c r="BI17" s="576"/>
      <c r="BJ17" s="573">
        <v>40</v>
      </c>
      <c r="BK17" s="574"/>
      <c r="BL17" s="575">
        <v>65</v>
      </c>
      <c r="BM17" s="576"/>
      <c r="BN17" s="566" t="s">
        <v>106</v>
      </c>
      <c r="BO17" s="306"/>
      <c r="BP17" s="306"/>
      <c r="BQ17" s="487"/>
      <c r="BR17" s="566" t="s">
        <v>106</v>
      </c>
      <c r="BS17" s="306"/>
      <c r="BT17" s="306"/>
      <c r="BU17" s="487"/>
      <c r="BV17" s="580" t="s">
        <v>81</v>
      </c>
      <c r="BW17" s="581"/>
      <c r="BX17" s="580" t="s">
        <v>295</v>
      </c>
      <c r="BY17" s="581"/>
      <c r="BZ17" s="563"/>
      <c r="CA17" s="564"/>
      <c r="CB17" s="565"/>
      <c r="CC17" s="563"/>
      <c r="CD17" s="564"/>
      <c r="CE17" s="564"/>
      <c r="CF17" s="564"/>
      <c r="CG17" s="564"/>
      <c r="CH17" s="564"/>
      <c r="CI17" s="564"/>
      <c r="CJ17" s="564"/>
      <c r="CK17" s="564"/>
      <c r="CL17" s="564"/>
      <c r="CM17" s="565"/>
    </row>
    <row r="18" spans="1:101" s="111" customFormat="1" ht="25.65" customHeight="1">
      <c r="A18" s="486">
        <f t="shared" si="1"/>
        <v>12</v>
      </c>
      <c r="B18" s="487"/>
      <c r="C18" s="563" t="s">
        <v>290</v>
      </c>
      <c r="D18" s="564"/>
      <c r="E18" s="564"/>
      <c r="F18" s="564"/>
      <c r="G18" s="564"/>
      <c r="H18" s="565"/>
      <c r="I18" s="551" t="s">
        <v>372</v>
      </c>
      <c r="J18" s="552"/>
      <c r="K18" s="552"/>
      <c r="L18" s="553"/>
      <c r="M18" s="551" t="s">
        <v>306</v>
      </c>
      <c r="N18" s="552"/>
      <c r="O18" s="552"/>
      <c r="P18" s="553"/>
      <c r="Q18" s="208" t="s">
        <v>374</v>
      </c>
      <c r="R18" s="671" t="s">
        <v>314</v>
      </c>
      <c r="S18" s="672"/>
      <c r="T18" s="672"/>
      <c r="U18" s="673"/>
      <c r="V18" s="554" t="s">
        <v>363</v>
      </c>
      <c r="W18" s="555"/>
      <c r="X18" s="556"/>
      <c r="Y18" s="171" t="s">
        <v>449</v>
      </c>
      <c r="Z18" s="557" t="s">
        <v>29</v>
      </c>
      <c r="AA18" s="558"/>
      <c r="AB18" s="559"/>
      <c r="AC18" s="209" t="s">
        <v>387</v>
      </c>
      <c r="AD18" s="209" t="s">
        <v>455</v>
      </c>
      <c r="AE18" s="209" t="s">
        <v>388</v>
      </c>
      <c r="AF18" s="171" t="s">
        <v>409</v>
      </c>
      <c r="AG18" s="668" t="s">
        <v>302</v>
      </c>
      <c r="AH18" s="669"/>
      <c r="AI18" s="669"/>
      <c r="AJ18" s="669"/>
      <c r="AK18" s="669"/>
      <c r="AL18" s="669"/>
      <c r="AM18" s="669"/>
      <c r="AN18" s="669"/>
      <c r="AO18" s="669"/>
      <c r="AP18" s="669"/>
      <c r="AQ18" s="670"/>
      <c r="AR18" s="557" t="s">
        <v>316</v>
      </c>
      <c r="AS18" s="558"/>
      <c r="AT18" s="558"/>
      <c r="AU18" s="558"/>
      <c r="AV18" s="558"/>
      <c r="AW18" s="558"/>
      <c r="AX18" s="558"/>
      <c r="AY18" s="558"/>
      <c r="AZ18" s="558"/>
      <c r="BA18" s="558"/>
      <c r="BB18" s="559"/>
      <c r="BC18" s="570">
        <v>7.0000000000000001E-3</v>
      </c>
      <c r="BD18" s="571"/>
      <c r="BE18" s="572"/>
      <c r="BF18" s="573">
        <v>14</v>
      </c>
      <c r="BG18" s="574"/>
      <c r="BH18" s="575">
        <v>25</v>
      </c>
      <c r="BI18" s="576"/>
      <c r="BJ18" s="573">
        <v>40</v>
      </c>
      <c r="BK18" s="574"/>
      <c r="BL18" s="575">
        <v>65</v>
      </c>
      <c r="BM18" s="576"/>
      <c r="BN18" s="566" t="s">
        <v>106</v>
      </c>
      <c r="BO18" s="306"/>
      <c r="BP18" s="306"/>
      <c r="BQ18" s="487"/>
      <c r="BR18" s="566" t="s">
        <v>106</v>
      </c>
      <c r="BS18" s="306"/>
      <c r="BT18" s="306"/>
      <c r="BU18" s="487"/>
      <c r="BV18" s="580" t="s">
        <v>81</v>
      </c>
      <c r="BW18" s="581"/>
      <c r="BX18" s="580" t="s">
        <v>295</v>
      </c>
      <c r="BY18" s="581"/>
      <c r="BZ18" s="563"/>
      <c r="CA18" s="564"/>
      <c r="CB18" s="565"/>
      <c r="CC18" s="563"/>
      <c r="CD18" s="564"/>
      <c r="CE18" s="564"/>
      <c r="CF18" s="564"/>
      <c r="CG18" s="564"/>
      <c r="CH18" s="564"/>
      <c r="CI18" s="564"/>
      <c r="CJ18" s="564"/>
      <c r="CK18" s="564"/>
      <c r="CL18" s="564"/>
      <c r="CM18" s="565"/>
    </row>
    <row r="19" spans="1:101" s="87" customFormat="1" ht="25.65" customHeight="1">
      <c r="A19" s="486">
        <f t="shared" si="1"/>
        <v>13</v>
      </c>
      <c r="B19" s="487"/>
      <c r="C19" s="563" t="s">
        <v>290</v>
      </c>
      <c r="D19" s="564"/>
      <c r="E19" s="564"/>
      <c r="F19" s="564"/>
      <c r="G19" s="564"/>
      <c r="H19" s="565"/>
      <c r="I19" s="551" t="s">
        <v>372</v>
      </c>
      <c r="J19" s="552"/>
      <c r="K19" s="552"/>
      <c r="L19" s="553"/>
      <c r="M19" s="551" t="s">
        <v>306</v>
      </c>
      <c r="N19" s="552"/>
      <c r="O19" s="552"/>
      <c r="P19" s="553"/>
      <c r="Q19" s="208" t="s">
        <v>374</v>
      </c>
      <c r="R19" s="551" t="s">
        <v>312</v>
      </c>
      <c r="S19" s="552"/>
      <c r="T19" s="552"/>
      <c r="U19" s="553"/>
      <c r="V19" s="554" t="s">
        <v>363</v>
      </c>
      <c r="W19" s="555"/>
      <c r="X19" s="556"/>
      <c r="Y19" s="171" t="s">
        <v>449</v>
      </c>
      <c r="Z19" s="557" t="s">
        <v>29</v>
      </c>
      <c r="AA19" s="558"/>
      <c r="AB19" s="559"/>
      <c r="AC19" s="209" t="s">
        <v>387</v>
      </c>
      <c r="AD19" s="209" t="s">
        <v>455</v>
      </c>
      <c r="AE19" s="209" t="s">
        <v>388</v>
      </c>
      <c r="AF19" s="171" t="s">
        <v>410</v>
      </c>
      <c r="AG19" s="668" t="s">
        <v>299</v>
      </c>
      <c r="AH19" s="669"/>
      <c r="AI19" s="669"/>
      <c r="AJ19" s="669"/>
      <c r="AK19" s="669"/>
      <c r="AL19" s="669"/>
      <c r="AM19" s="669"/>
      <c r="AN19" s="669"/>
      <c r="AO19" s="669"/>
      <c r="AP19" s="669"/>
      <c r="AQ19" s="670"/>
      <c r="AR19" s="557" t="s">
        <v>316</v>
      </c>
      <c r="AS19" s="558"/>
      <c r="AT19" s="558"/>
      <c r="AU19" s="558"/>
      <c r="AV19" s="558"/>
      <c r="AW19" s="558"/>
      <c r="AX19" s="558"/>
      <c r="AY19" s="558"/>
      <c r="AZ19" s="558"/>
      <c r="BA19" s="558"/>
      <c r="BB19" s="559"/>
      <c r="BC19" s="570">
        <v>7.0000000000000001E-3</v>
      </c>
      <c r="BD19" s="571"/>
      <c r="BE19" s="572"/>
      <c r="BF19" s="573">
        <v>14</v>
      </c>
      <c r="BG19" s="574"/>
      <c r="BH19" s="575">
        <v>25</v>
      </c>
      <c r="BI19" s="576"/>
      <c r="BJ19" s="573">
        <v>40</v>
      </c>
      <c r="BK19" s="574"/>
      <c r="BL19" s="575">
        <v>65</v>
      </c>
      <c r="BM19" s="576"/>
      <c r="BN19" s="566" t="s">
        <v>106</v>
      </c>
      <c r="BO19" s="306"/>
      <c r="BP19" s="306"/>
      <c r="BQ19" s="487"/>
      <c r="BR19" s="566" t="s">
        <v>106</v>
      </c>
      <c r="BS19" s="306"/>
      <c r="BT19" s="306"/>
      <c r="BU19" s="487"/>
      <c r="BV19" s="580" t="s">
        <v>81</v>
      </c>
      <c r="BW19" s="581"/>
      <c r="BX19" s="580" t="s">
        <v>295</v>
      </c>
      <c r="BY19" s="581"/>
      <c r="BZ19" s="563"/>
      <c r="CA19" s="564"/>
      <c r="CB19" s="565"/>
      <c r="CC19" s="563"/>
      <c r="CD19" s="564"/>
      <c r="CE19" s="564"/>
      <c r="CF19" s="564"/>
      <c r="CG19" s="564"/>
      <c r="CH19" s="564"/>
      <c r="CI19" s="564"/>
      <c r="CJ19" s="564"/>
      <c r="CK19" s="564"/>
      <c r="CL19" s="564"/>
      <c r="CM19" s="565"/>
    </row>
    <row r="20" spans="1:101" s="87" customFormat="1" ht="25.65" customHeight="1">
      <c r="A20" s="486">
        <f t="shared" si="1"/>
        <v>14</v>
      </c>
      <c r="B20" s="487"/>
      <c r="C20" s="563" t="s">
        <v>290</v>
      </c>
      <c r="D20" s="564"/>
      <c r="E20" s="564"/>
      <c r="F20" s="564"/>
      <c r="G20" s="564"/>
      <c r="H20" s="565"/>
      <c r="I20" s="551" t="s">
        <v>372</v>
      </c>
      <c r="J20" s="552"/>
      <c r="K20" s="552"/>
      <c r="L20" s="553"/>
      <c r="M20" s="551" t="s">
        <v>306</v>
      </c>
      <c r="N20" s="552"/>
      <c r="O20" s="552"/>
      <c r="P20" s="553"/>
      <c r="Q20" s="208" t="s">
        <v>374</v>
      </c>
      <c r="R20" s="551" t="s">
        <v>313</v>
      </c>
      <c r="S20" s="552"/>
      <c r="T20" s="552"/>
      <c r="U20" s="553"/>
      <c r="V20" s="554" t="s">
        <v>363</v>
      </c>
      <c r="W20" s="555"/>
      <c r="X20" s="556"/>
      <c r="Y20" s="171" t="s">
        <v>449</v>
      </c>
      <c r="Z20" s="557" t="s">
        <v>29</v>
      </c>
      <c r="AA20" s="558"/>
      <c r="AB20" s="559"/>
      <c r="AC20" s="209" t="s">
        <v>387</v>
      </c>
      <c r="AD20" s="209" t="s">
        <v>455</v>
      </c>
      <c r="AE20" s="209" t="s">
        <v>388</v>
      </c>
      <c r="AF20" s="171" t="s">
        <v>411</v>
      </c>
      <c r="AG20" s="668" t="s">
        <v>299</v>
      </c>
      <c r="AH20" s="669"/>
      <c r="AI20" s="669"/>
      <c r="AJ20" s="669"/>
      <c r="AK20" s="669"/>
      <c r="AL20" s="669"/>
      <c r="AM20" s="669"/>
      <c r="AN20" s="669"/>
      <c r="AO20" s="669"/>
      <c r="AP20" s="669"/>
      <c r="AQ20" s="670"/>
      <c r="AR20" s="557" t="s">
        <v>316</v>
      </c>
      <c r="AS20" s="558"/>
      <c r="AT20" s="558"/>
      <c r="AU20" s="558"/>
      <c r="AV20" s="558"/>
      <c r="AW20" s="558"/>
      <c r="AX20" s="558"/>
      <c r="AY20" s="558"/>
      <c r="AZ20" s="558"/>
      <c r="BA20" s="558"/>
      <c r="BB20" s="559"/>
      <c r="BC20" s="570">
        <v>7.0000000000000001E-3</v>
      </c>
      <c r="BD20" s="571"/>
      <c r="BE20" s="572"/>
      <c r="BF20" s="573">
        <v>14</v>
      </c>
      <c r="BG20" s="574"/>
      <c r="BH20" s="575">
        <v>25</v>
      </c>
      <c r="BI20" s="576"/>
      <c r="BJ20" s="573">
        <v>40</v>
      </c>
      <c r="BK20" s="574"/>
      <c r="BL20" s="575">
        <v>65</v>
      </c>
      <c r="BM20" s="576"/>
      <c r="BN20" s="566" t="s">
        <v>106</v>
      </c>
      <c r="BO20" s="306"/>
      <c r="BP20" s="306"/>
      <c r="BQ20" s="487"/>
      <c r="BR20" s="566" t="s">
        <v>106</v>
      </c>
      <c r="BS20" s="306"/>
      <c r="BT20" s="306"/>
      <c r="BU20" s="487"/>
      <c r="BV20" s="580" t="s">
        <v>81</v>
      </c>
      <c r="BW20" s="581"/>
      <c r="BX20" s="580" t="s">
        <v>295</v>
      </c>
      <c r="BY20" s="581"/>
      <c r="BZ20" s="563"/>
      <c r="CA20" s="564"/>
      <c r="CB20" s="565"/>
      <c r="CC20" s="563"/>
      <c r="CD20" s="564"/>
      <c r="CE20" s="564"/>
      <c r="CF20" s="564"/>
      <c r="CG20" s="564"/>
      <c r="CH20" s="564"/>
      <c r="CI20" s="564"/>
      <c r="CJ20" s="564"/>
      <c r="CK20" s="564"/>
      <c r="CL20" s="564"/>
      <c r="CM20" s="565"/>
    </row>
    <row r="21" spans="1:101" s="111" customFormat="1" ht="25.65" customHeight="1">
      <c r="A21" s="486">
        <f t="shared" si="1"/>
        <v>15</v>
      </c>
      <c r="B21" s="487"/>
      <c r="C21" s="563" t="s">
        <v>290</v>
      </c>
      <c r="D21" s="564"/>
      <c r="E21" s="564"/>
      <c r="F21" s="564"/>
      <c r="G21" s="564"/>
      <c r="H21" s="565"/>
      <c r="I21" s="551" t="s">
        <v>372</v>
      </c>
      <c r="J21" s="552"/>
      <c r="K21" s="552"/>
      <c r="L21" s="553"/>
      <c r="M21" s="551" t="s">
        <v>317</v>
      </c>
      <c r="N21" s="552"/>
      <c r="O21" s="552"/>
      <c r="P21" s="553"/>
      <c r="Q21" s="208" t="s">
        <v>374</v>
      </c>
      <c r="R21" s="551" t="s">
        <v>378</v>
      </c>
      <c r="S21" s="552"/>
      <c r="T21" s="552"/>
      <c r="U21" s="553"/>
      <c r="V21" s="551" t="s">
        <v>252</v>
      </c>
      <c r="W21" s="552"/>
      <c r="X21" s="553"/>
      <c r="Y21" s="171" t="s">
        <v>450</v>
      </c>
      <c r="Z21" s="557" t="s">
        <v>71</v>
      </c>
      <c r="AA21" s="558"/>
      <c r="AB21" s="558"/>
      <c r="AC21" s="209" t="s">
        <v>390</v>
      </c>
      <c r="AD21" s="209" t="s">
        <v>391</v>
      </c>
      <c r="AE21" s="209" t="s">
        <v>392</v>
      </c>
      <c r="AF21" s="171" t="s">
        <v>412</v>
      </c>
      <c r="AG21" s="577" t="s">
        <v>318</v>
      </c>
      <c r="AH21" s="578"/>
      <c r="AI21" s="578"/>
      <c r="AJ21" s="578"/>
      <c r="AK21" s="578"/>
      <c r="AL21" s="578"/>
      <c r="AM21" s="578"/>
      <c r="AN21" s="578"/>
      <c r="AO21" s="578"/>
      <c r="AP21" s="578"/>
      <c r="AQ21" s="579"/>
      <c r="AR21" s="486" t="s">
        <v>319</v>
      </c>
      <c r="AS21" s="306"/>
      <c r="AT21" s="306"/>
      <c r="AU21" s="306"/>
      <c r="AV21" s="306"/>
      <c r="AW21" s="306"/>
      <c r="AX21" s="306"/>
      <c r="AY21" s="306"/>
      <c r="AZ21" s="306"/>
      <c r="BA21" s="306"/>
      <c r="BB21" s="487"/>
      <c r="BC21" s="584">
        <v>1</v>
      </c>
      <c r="BD21" s="585"/>
      <c r="BE21" s="586"/>
      <c r="BF21" s="587">
        <v>1.02</v>
      </c>
      <c r="BG21" s="588"/>
      <c r="BH21" s="573">
        <v>5</v>
      </c>
      <c r="BI21" s="574"/>
      <c r="BJ21" s="587">
        <v>45</v>
      </c>
      <c r="BK21" s="588"/>
      <c r="BL21" s="573">
        <v>65</v>
      </c>
      <c r="BM21" s="574"/>
      <c r="BN21" s="566" t="s">
        <v>106</v>
      </c>
      <c r="BO21" s="306"/>
      <c r="BP21" s="306"/>
      <c r="BQ21" s="487"/>
      <c r="BR21" s="566" t="s">
        <v>106</v>
      </c>
      <c r="BS21" s="306"/>
      <c r="BT21" s="306"/>
      <c r="BU21" s="487"/>
      <c r="BV21" s="580" t="s">
        <v>81</v>
      </c>
      <c r="BW21" s="581"/>
      <c r="BX21" s="580" t="s">
        <v>295</v>
      </c>
      <c r="BY21" s="581"/>
      <c r="BZ21" s="563"/>
      <c r="CA21" s="564"/>
      <c r="CB21" s="565"/>
      <c r="CC21" s="560"/>
      <c r="CD21" s="561"/>
      <c r="CE21" s="561"/>
      <c r="CF21" s="561"/>
      <c r="CG21" s="561"/>
      <c r="CH21" s="561"/>
      <c r="CI21" s="561"/>
      <c r="CJ21" s="561"/>
      <c r="CK21" s="561"/>
      <c r="CL21" s="561"/>
      <c r="CM21" s="562"/>
    </row>
    <row r="22" spans="1:101" s="87" customFormat="1" ht="25.65" customHeight="1">
      <c r="A22" s="486">
        <f t="shared" si="1"/>
        <v>16</v>
      </c>
      <c r="B22" s="487"/>
      <c r="C22" s="563" t="s">
        <v>290</v>
      </c>
      <c r="D22" s="564"/>
      <c r="E22" s="564"/>
      <c r="F22" s="564"/>
      <c r="G22" s="564"/>
      <c r="H22" s="565"/>
      <c r="I22" s="551" t="s">
        <v>372</v>
      </c>
      <c r="J22" s="552"/>
      <c r="K22" s="552"/>
      <c r="L22" s="553"/>
      <c r="M22" s="551" t="s">
        <v>320</v>
      </c>
      <c r="N22" s="552"/>
      <c r="O22" s="552"/>
      <c r="P22" s="553"/>
      <c r="Q22" s="208" t="s">
        <v>374</v>
      </c>
      <c r="R22" s="551" t="s">
        <v>378</v>
      </c>
      <c r="S22" s="552"/>
      <c r="T22" s="552"/>
      <c r="U22" s="553"/>
      <c r="V22" s="551" t="s">
        <v>252</v>
      </c>
      <c r="W22" s="552"/>
      <c r="X22" s="553"/>
      <c r="Y22" s="171" t="s">
        <v>450</v>
      </c>
      <c r="Z22" s="557" t="s">
        <v>71</v>
      </c>
      <c r="AA22" s="558"/>
      <c r="AB22" s="558"/>
      <c r="AC22" s="209" t="s">
        <v>390</v>
      </c>
      <c r="AD22" s="209" t="s">
        <v>391</v>
      </c>
      <c r="AE22" s="209" t="s">
        <v>392</v>
      </c>
      <c r="AF22" s="171" t="s">
        <v>413</v>
      </c>
      <c r="AG22" s="577" t="s">
        <v>319</v>
      </c>
      <c r="AH22" s="578"/>
      <c r="AI22" s="578"/>
      <c r="AJ22" s="578"/>
      <c r="AK22" s="578"/>
      <c r="AL22" s="578"/>
      <c r="AM22" s="578"/>
      <c r="AN22" s="578"/>
      <c r="AO22" s="578"/>
      <c r="AP22" s="578"/>
      <c r="AQ22" s="579"/>
      <c r="AR22" s="486" t="s">
        <v>321</v>
      </c>
      <c r="AS22" s="306"/>
      <c r="AT22" s="306"/>
      <c r="AU22" s="306"/>
      <c r="AV22" s="306"/>
      <c r="AW22" s="306"/>
      <c r="AX22" s="306"/>
      <c r="AY22" s="306"/>
      <c r="AZ22" s="306"/>
      <c r="BA22" s="306"/>
      <c r="BB22" s="487"/>
      <c r="BC22" s="584">
        <f>974.4/1000</f>
        <v>0.97439999999999993</v>
      </c>
      <c r="BD22" s="585"/>
      <c r="BE22" s="586"/>
      <c r="BF22" s="587">
        <v>1.02</v>
      </c>
      <c r="BG22" s="588"/>
      <c r="BH22" s="573">
        <v>5</v>
      </c>
      <c r="BI22" s="574"/>
      <c r="BJ22" s="587">
        <v>80</v>
      </c>
      <c r="BK22" s="588"/>
      <c r="BL22" s="573">
        <v>120</v>
      </c>
      <c r="BM22" s="574"/>
      <c r="BN22" s="566" t="s">
        <v>106</v>
      </c>
      <c r="BO22" s="306"/>
      <c r="BP22" s="306"/>
      <c r="BQ22" s="487"/>
      <c r="BR22" s="566" t="s">
        <v>106</v>
      </c>
      <c r="BS22" s="306"/>
      <c r="BT22" s="306"/>
      <c r="BU22" s="487"/>
      <c r="BV22" s="580" t="s">
        <v>33</v>
      </c>
      <c r="BW22" s="581"/>
      <c r="BX22" s="666" t="s">
        <v>323</v>
      </c>
      <c r="BY22" s="667"/>
      <c r="BZ22" s="563"/>
      <c r="CA22" s="564"/>
      <c r="CB22" s="565"/>
      <c r="CC22" s="560"/>
      <c r="CD22" s="561"/>
      <c r="CE22" s="561"/>
      <c r="CF22" s="561"/>
      <c r="CG22" s="561"/>
      <c r="CH22" s="561"/>
      <c r="CI22" s="561"/>
      <c r="CJ22" s="561"/>
      <c r="CK22" s="561"/>
      <c r="CL22" s="561"/>
      <c r="CM22" s="562"/>
    </row>
    <row r="23" spans="1:101" s="87" customFormat="1" ht="25.65" customHeight="1">
      <c r="A23" s="486">
        <f t="shared" si="1"/>
        <v>17</v>
      </c>
      <c r="B23" s="487"/>
      <c r="C23" s="563" t="s">
        <v>290</v>
      </c>
      <c r="D23" s="564"/>
      <c r="E23" s="564"/>
      <c r="F23" s="564"/>
      <c r="G23" s="564"/>
      <c r="H23" s="565"/>
      <c r="I23" s="551" t="s">
        <v>372</v>
      </c>
      <c r="J23" s="552"/>
      <c r="K23" s="552"/>
      <c r="L23" s="553"/>
      <c r="M23" s="551" t="s">
        <v>320</v>
      </c>
      <c r="N23" s="552"/>
      <c r="O23" s="552"/>
      <c r="P23" s="553"/>
      <c r="Q23" s="208" t="s">
        <v>374</v>
      </c>
      <c r="R23" s="551" t="s">
        <v>379</v>
      </c>
      <c r="S23" s="552"/>
      <c r="T23" s="552"/>
      <c r="U23" s="553"/>
      <c r="V23" s="551" t="s">
        <v>252</v>
      </c>
      <c r="W23" s="552"/>
      <c r="X23" s="553"/>
      <c r="Y23" s="171" t="s">
        <v>450</v>
      </c>
      <c r="Z23" s="557" t="s">
        <v>71</v>
      </c>
      <c r="AA23" s="558"/>
      <c r="AB23" s="558"/>
      <c r="AC23" s="209" t="s">
        <v>390</v>
      </c>
      <c r="AD23" s="209" t="s">
        <v>391</v>
      </c>
      <c r="AE23" s="209" t="s">
        <v>392</v>
      </c>
      <c r="AF23" s="171" t="s">
        <v>414</v>
      </c>
      <c r="AG23" s="577" t="s">
        <v>413</v>
      </c>
      <c r="AH23" s="578"/>
      <c r="AI23" s="578"/>
      <c r="AJ23" s="578"/>
      <c r="AK23" s="578"/>
      <c r="AL23" s="578"/>
      <c r="AM23" s="578"/>
      <c r="AN23" s="578"/>
      <c r="AO23" s="578"/>
      <c r="AP23" s="578"/>
      <c r="AQ23" s="579"/>
      <c r="AR23" s="486" t="s">
        <v>322</v>
      </c>
      <c r="AS23" s="306"/>
      <c r="AT23" s="306"/>
      <c r="AU23" s="306"/>
      <c r="AV23" s="306"/>
      <c r="AW23" s="306"/>
      <c r="AX23" s="306"/>
      <c r="AY23" s="306"/>
      <c r="AZ23" s="306"/>
      <c r="BA23" s="306"/>
      <c r="BB23" s="487"/>
      <c r="BC23" s="584">
        <f t="shared" ref="BC23:BC27" si="3">974.4/1000</f>
        <v>0.97439999999999993</v>
      </c>
      <c r="BD23" s="585"/>
      <c r="BE23" s="586"/>
      <c r="BF23" s="587">
        <v>1.02</v>
      </c>
      <c r="BG23" s="588"/>
      <c r="BH23" s="573">
        <v>5</v>
      </c>
      <c r="BI23" s="574"/>
      <c r="BJ23" s="587">
        <v>80</v>
      </c>
      <c r="BK23" s="588"/>
      <c r="BL23" s="573">
        <v>120</v>
      </c>
      <c r="BM23" s="574"/>
      <c r="BN23" s="566" t="s">
        <v>106</v>
      </c>
      <c r="BO23" s="306"/>
      <c r="BP23" s="306"/>
      <c r="BQ23" s="487"/>
      <c r="BR23" s="566" t="s">
        <v>106</v>
      </c>
      <c r="BS23" s="306"/>
      <c r="BT23" s="306"/>
      <c r="BU23" s="487"/>
      <c r="BV23" s="580" t="s">
        <v>33</v>
      </c>
      <c r="BW23" s="581"/>
      <c r="BX23" s="666" t="s">
        <v>323</v>
      </c>
      <c r="BY23" s="667"/>
      <c r="BZ23" s="563"/>
      <c r="CA23" s="564"/>
      <c r="CB23" s="565"/>
      <c r="CC23" s="560"/>
      <c r="CD23" s="561"/>
      <c r="CE23" s="561"/>
      <c r="CF23" s="561"/>
      <c r="CG23" s="561"/>
      <c r="CH23" s="561"/>
      <c r="CI23" s="561"/>
      <c r="CJ23" s="561"/>
      <c r="CK23" s="561"/>
      <c r="CL23" s="561"/>
      <c r="CM23" s="562"/>
    </row>
    <row r="24" spans="1:101" s="111" customFormat="1" ht="25.65" customHeight="1">
      <c r="A24" s="486">
        <f t="shared" si="1"/>
        <v>18</v>
      </c>
      <c r="B24" s="487"/>
      <c r="C24" s="563" t="s">
        <v>290</v>
      </c>
      <c r="D24" s="564"/>
      <c r="E24" s="564"/>
      <c r="F24" s="564"/>
      <c r="G24" s="564"/>
      <c r="H24" s="565"/>
      <c r="I24" s="551" t="s">
        <v>323</v>
      </c>
      <c r="J24" s="552"/>
      <c r="K24" s="552"/>
      <c r="L24" s="553"/>
      <c r="M24" s="551" t="s">
        <v>320</v>
      </c>
      <c r="N24" s="552"/>
      <c r="O24" s="552"/>
      <c r="P24" s="553"/>
      <c r="Q24" s="208" t="s">
        <v>374</v>
      </c>
      <c r="R24" s="551" t="s">
        <v>380</v>
      </c>
      <c r="S24" s="552"/>
      <c r="T24" s="552"/>
      <c r="U24" s="553"/>
      <c r="V24" s="551" t="s">
        <v>252</v>
      </c>
      <c r="W24" s="552"/>
      <c r="X24" s="553"/>
      <c r="Y24" s="171" t="s">
        <v>450</v>
      </c>
      <c r="Z24" s="557" t="s">
        <v>71</v>
      </c>
      <c r="AA24" s="558"/>
      <c r="AB24" s="558"/>
      <c r="AC24" s="209" t="s">
        <v>390</v>
      </c>
      <c r="AD24" s="209" t="s">
        <v>391</v>
      </c>
      <c r="AE24" s="209" t="s">
        <v>392</v>
      </c>
      <c r="AF24" s="171" t="s">
        <v>415</v>
      </c>
      <c r="AG24" s="486" t="s">
        <v>322</v>
      </c>
      <c r="AH24" s="306"/>
      <c r="AI24" s="306"/>
      <c r="AJ24" s="306"/>
      <c r="AK24" s="306"/>
      <c r="AL24" s="306"/>
      <c r="AM24" s="306"/>
      <c r="AN24" s="306"/>
      <c r="AO24" s="306"/>
      <c r="AP24" s="306"/>
      <c r="AQ24" s="487"/>
      <c r="AR24" s="486" t="s">
        <v>417</v>
      </c>
      <c r="AS24" s="306"/>
      <c r="AT24" s="306"/>
      <c r="AU24" s="306"/>
      <c r="AV24" s="306"/>
      <c r="AW24" s="306"/>
      <c r="AX24" s="306"/>
      <c r="AY24" s="306"/>
      <c r="AZ24" s="306"/>
      <c r="BA24" s="306"/>
      <c r="BB24" s="487"/>
      <c r="BC24" s="584">
        <f t="shared" si="3"/>
        <v>0.97439999999999993</v>
      </c>
      <c r="BD24" s="585"/>
      <c r="BE24" s="586"/>
      <c r="BF24" s="587">
        <v>1.96</v>
      </c>
      <c r="BG24" s="588"/>
      <c r="BH24" s="573">
        <v>5</v>
      </c>
      <c r="BI24" s="574"/>
      <c r="BJ24" s="587">
        <v>80</v>
      </c>
      <c r="BK24" s="588"/>
      <c r="BL24" s="573">
        <v>120</v>
      </c>
      <c r="BM24" s="574"/>
      <c r="BN24" s="566" t="s">
        <v>106</v>
      </c>
      <c r="BO24" s="306"/>
      <c r="BP24" s="306"/>
      <c r="BQ24" s="487"/>
      <c r="BR24" s="566" t="s">
        <v>106</v>
      </c>
      <c r="BS24" s="306"/>
      <c r="BT24" s="306"/>
      <c r="BU24" s="487"/>
      <c r="BV24" s="580" t="s">
        <v>33</v>
      </c>
      <c r="BW24" s="581"/>
      <c r="BX24" s="666" t="s">
        <v>323</v>
      </c>
      <c r="BY24" s="667"/>
      <c r="BZ24" s="563"/>
      <c r="CA24" s="564"/>
      <c r="CB24" s="565"/>
      <c r="CC24" s="560"/>
      <c r="CD24" s="561"/>
      <c r="CE24" s="561"/>
      <c r="CF24" s="561"/>
      <c r="CG24" s="561"/>
      <c r="CH24" s="561"/>
      <c r="CI24" s="561"/>
      <c r="CJ24" s="561"/>
      <c r="CK24" s="561"/>
      <c r="CL24" s="561"/>
      <c r="CM24" s="562"/>
    </row>
    <row r="25" spans="1:101" s="87" customFormat="1" ht="25.65" customHeight="1">
      <c r="A25" s="486">
        <f t="shared" si="1"/>
        <v>19</v>
      </c>
      <c r="B25" s="487"/>
      <c r="C25" s="563" t="s">
        <v>290</v>
      </c>
      <c r="D25" s="564"/>
      <c r="E25" s="564"/>
      <c r="F25" s="564"/>
      <c r="G25" s="564"/>
      <c r="H25" s="565"/>
      <c r="I25" s="551" t="s">
        <v>323</v>
      </c>
      <c r="J25" s="552"/>
      <c r="K25" s="552"/>
      <c r="L25" s="553"/>
      <c r="M25" s="551" t="s">
        <v>320</v>
      </c>
      <c r="N25" s="552"/>
      <c r="O25" s="552"/>
      <c r="P25" s="553"/>
      <c r="Q25" s="208" t="s">
        <v>374</v>
      </c>
      <c r="R25" s="551" t="s">
        <v>381</v>
      </c>
      <c r="S25" s="552"/>
      <c r="T25" s="552"/>
      <c r="U25" s="553"/>
      <c r="V25" s="551" t="s">
        <v>252</v>
      </c>
      <c r="W25" s="552"/>
      <c r="X25" s="553"/>
      <c r="Y25" s="171" t="s">
        <v>450</v>
      </c>
      <c r="Z25" s="557" t="s">
        <v>71</v>
      </c>
      <c r="AA25" s="558"/>
      <c r="AB25" s="558"/>
      <c r="AC25" s="209" t="s">
        <v>390</v>
      </c>
      <c r="AD25" s="209" t="s">
        <v>391</v>
      </c>
      <c r="AE25" s="209" t="s">
        <v>392</v>
      </c>
      <c r="AF25" s="171" t="s">
        <v>416</v>
      </c>
      <c r="AG25" s="486" t="s">
        <v>321</v>
      </c>
      <c r="AH25" s="306"/>
      <c r="AI25" s="306"/>
      <c r="AJ25" s="306"/>
      <c r="AK25" s="306"/>
      <c r="AL25" s="306"/>
      <c r="AM25" s="306"/>
      <c r="AN25" s="306"/>
      <c r="AO25" s="306"/>
      <c r="AP25" s="306"/>
      <c r="AQ25" s="487"/>
      <c r="AR25" s="486" t="s">
        <v>415</v>
      </c>
      <c r="AS25" s="306"/>
      <c r="AT25" s="306"/>
      <c r="AU25" s="306"/>
      <c r="AV25" s="306"/>
      <c r="AW25" s="306"/>
      <c r="AX25" s="306"/>
      <c r="AY25" s="306"/>
      <c r="AZ25" s="306"/>
      <c r="BA25" s="306"/>
      <c r="BB25" s="487"/>
      <c r="BC25" s="584">
        <f t="shared" si="3"/>
        <v>0.97439999999999993</v>
      </c>
      <c r="BD25" s="585"/>
      <c r="BE25" s="586"/>
      <c r="BF25" s="587">
        <v>1.96</v>
      </c>
      <c r="BG25" s="588"/>
      <c r="BH25" s="573">
        <v>5</v>
      </c>
      <c r="BI25" s="574"/>
      <c r="BJ25" s="587">
        <v>80</v>
      </c>
      <c r="BK25" s="588"/>
      <c r="BL25" s="573">
        <v>120</v>
      </c>
      <c r="BM25" s="574"/>
      <c r="BN25" s="566" t="s">
        <v>106</v>
      </c>
      <c r="BO25" s="306"/>
      <c r="BP25" s="306"/>
      <c r="BQ25" s="487"/>
      <c r="BR25" s="566" t="s">
        <v>106</v>
      </c>
      <c r="BS25" s="306"/>
      <c r="BT25" s="306"/>
      <c r="BU25" s="487"/>
      <c r="BV25" s="580" t="s">
        <v>33</v>
      </c>
      <c r="BW25" s="581"/>
      <c r="BX25" s="666" t="s">
        <v>323</v>
      </c>
      <c r="BY25" s="667"/>
      <c r="BZ25" s="563"/>
      <c r="CA25" s="564"/>
      <c r="CB25" s="565"/>
      <c r="CC25" s="560"/>
      <c r="CD25" s="561"/>
      <c r="CE25" s="561"/>
      <c r="CF25" s="561"/>
      <c r="CG25" s="561"/>
      <c r="CH25" s="561"/>
      <c r="CI25" s="561"/>
      <c r="CJ25" s="561"/>
      <c r="CK25" s="561"/>
      <c r="CL25" s="561"/>
      <c r="CM25" s="562"/>
    </row>
    <row r="26" spans="1:101" s="87" customFormat="1" ht="25.65" customHeight="1">
      <c r="A26" s="486">
        <f t="shared" si="1"/>
        <v>20</v>
      </c>
      <c r="B26" s="487"/>
      <c r="C26" s="563" t="s">
        <v>290</v>
      </c>
      <c r="D26" s="564"/>
      <c r="E26" s="564"/>
      <c r="F26" s="564"/>
      <c r="G26" s="564"/>
      <c r="H26" s="565"/>
      <c r="I26" s="551" t="s">
        <v>323</v>
      </c>
      <c r="J26" s="552"/>
      <c r="K26" s="552"/>
      <c r="L26" s="553"/>
      <c r="M26" s="551" t="s">
        <v>320</v>
      </c>
      <c r="N26" s="552"/>
      <c r="O26" s="552"/>
      <c r="P26" s="553"/>
      <c r="Q26" s="208" t="s">
        <v>374</v>
      </c>
      <c r="R26" s="551" t="s">
        <v>382</v>
      </c>
      <c r="S26" s="552"/>
      <c r="T26" s="552"/>
      <c r="U26" s="553"/>
      <c r="V26" s="551" t="s">
        <v>252</v>
      </c>
      <c r="W26" s="552"/>
      <c r="X26" s="553"/>
      <c r="Y26" s="171" t="s">
        <v>450</v>
      </c>
      <c r="Z26" s="557" t="s">
        <v>71</v>
      </c>
      <c r="AA26" s="558"/>
      <c r="AB26" s="558"/>
      <c r="AC26" s="209" t="s">
        <v>390</v>
      </c>
      <c r="AD26" s="209" t="s">
        <v>391</v>
      </c>
      <c r="AE26" s="209" t="s">
        <v>392</v>
      </c>
      <c r="AF26" s="171" t="s">
        <v>417</v>
      </c>
      <c r="AG26" s="486" t="s">
        <v>415</v>
      </c>
      <c r="AH26" s="306"/>
      <c r="AI26" s="306"/>
      <c r="AJ26" s="306"/>
      <c r="AK26" s="306"/>
      <c r="AL26" s="306"/>
      <c r="AM26" s="306"/>
      <c r="AN26" s="306"/>
      <c r="AO26" s="306"/>
      <c r="AP26" s="306"/>
      <c r="AQ26" s="487"/>
      <c r="AR26" s="486" t="s">
        <v>311</v>
      </c>
      <c r="AS26" s="306"/>
      <c r="AT26" s="306"/>
      <c r="AU26" s="306"/>
      <c r="AV26" s="306"/>
      <c r="AW26" s="306"/>
      <c r="AX26" s="306"/>
      <c r="AY26" s="306"/>
      <c r="AZ26" s="306"/>
      <c r="BA26" s="306"/>
      <c r="BB26" s="487"/>
      <c r="BC26" s="584">
        <f t="shared" si="3"/>
        <v>0.97439999999999993</v>
      </c>
      <c r="BD26" s="585"/>
      <c r="BE26" s="586"/>
      <c r="BF26" s="587">
        <v>1.96</v>
      </c>
      <c r="BG26" s="588"/>
      <c r="BH26" s="573">
        <v>5</v>
      </c>
      <c r="BI26" s="574"/>
      <c r="BJ26" s="587">
        <v>80</v>
      </c>
      <c r="BK26" s="588"/>
      <c r="BL26" s="573">
        <v>120</v>
      </c>
      <c r="BM26" s="574"/>
      <c r="BN26" s="566" t="s">
        <v>106</v>
      </c>
      <c r="BO26" s="306"/>
      <c r="BP26" s="306"/>
      <c r="BQ26" s="487"/>
      <c r="BR26" s="566" t="s">
        <v>106</v>
      </c>
      <c r="BS26" s="306"/>
      <c r="BT26" s="306"/>
      <c r="BU26" s="487"/>
      <c r="BV26" s="580" t="s">
        <v>33</v>
      </c>
      <c r="BW26" s="581"/>
      <c r="BX26" s="666" t="s">
        <v>323</v>
      </c>
      <c r="BY26" s="667"/>
      <c r="BZ26" s="486"/>
      <c r="CA26" s="306"/>
      <c r="CB26" s="487"/>
      <c r="CC26" s="560"/>
      <c r="CD26" s="561"/>
      <c r="CE26" s="561"/>
      <c r="CF26" s="561"/>
      <c r="CG26" s="561"/>
      <c r="CH26" s="561"/>
      <c r="CI26" s="561"/>
      <c r="CJ26" s="561"/>
      <c r="CK26" s="561"/>
      <c r="CL26" s="561"/>
      <c r="CM26" s="562"/>
    </row>
    <row r="27" spans="1:101" s="75" customFormat="1" ht="25.65" customHeight="1">
      <c r="A27" s="486">
        <f t="shared" si="1"/>
        <v>21</v>
      </c>
      <c r="B27" s="487"/>
      <c r="C27" s="563" t="s">
        <v>290</v>
      </c>
      <c r="D27" s="564"/>
      <c r="E27" s="564"/>
      <c r="F27" s="564"/>
      <c r="G27" s="564"/>
      <c r="H27" s="565"/>
      <c r="I27" s="551" t="s">
        <v>323</v>
      </c>
      <c r="J27" s="552"/>
      <c r="K27" s="552"/>
      <c r="L27" s="553"/>
      <c r="M27" s="551" t="s">
        <v>320</v>
      </c>
      <c r="N27" s="552"/>
      <c r="O27" s="552"/>
      <c r="P27" s="553"/>
      <c r="Q27" s="208" t="s">
        <v>374</v>
      </c>
      <c r="R27" s="551" t="s">
        <v>383</v>
      </c>
      <c r="S27" s="552"/>
      <c r="T27" s="552"/>
      <c r="U27" s="553"/>
      <c r="V27" s="551" t="s">
        <v>252</v>
      </c>
      <c r="W27" s="552"/>
      <c r="X27" s="553"/>
      <c r="Y27" s="171" t="s">
        <v>450</v>
      </c>
      <c r="Z27" s="557" t="s">
        <v>71</v>
      </c>
      <c r="AA27" s="558"/>
      <c r="AB27" s="558"/>
      <c r="AC27" s="209" t="s">
        <v>390</v>
      </c>
      <c r="AD27" s="209" t="s">
        <v>391</v>
      </c>
      <c r="AE27" s="209" t="s">
        <v>392</v>
      </c>
      <c r="AF27" s="171" t="s">
        <v>418</v>
      </c>
      <c r="AG27" s="486" t="s">
        <v>311</v>
      </c>
      <c r="AH27" s="306"/>
      <c r="AI27" s="306"/>
      <c r="AJ27" s="306"/>
      <c r="AK27" s="306"/>
      <c r="AL27" s="306"/>
      <c r="AM27" s="306"/>
      <c r="AN27" s="306"/>
      <c r="AO27" s="306"/>
      <c r="AP27" s="306"/>
      <c r="AQ27" s="487"/>
      <c r="AR27" s="486" t="s">
        <v>319</v>
      </c>
      <c r="AS27" s="306"/>
      <c r="AT27" s="306"/>
      <c r="AU27" s="306"/>
      <c r="AV27" s="306"/>
      <c r="AW27" s="306"/>
      <c r="AX27" s="306"/>
      <c r="AY27" s="306"/>
      <c r="AZ27" s="306"/>
      <c r="BA27" s="306"/>
      <c r="BB27" s="487"/>
      <c r="BC27" s="584">
        <f t="shared" si="3"/>
        <v>0.97439999999999993</v>
      </c>
      <c r="BD27" s="585"/>
      <c r="BE27" s="586"/>
      <c r="BF27" s="587">
        <v>1.96</v>
      </c>
      <c r="BG27" s="588"/>
      <c r="BH27" s="573">
        <v>5</v>
      </c>
      <c r="BI27" s="574"/>
      <c r="BJ27" s="587">
        <v>80</v>
      </c>
      <c r="BK27" s="588"/>
      <c r="BL27" s="573">
        <v>120</v>
      </c>
      <c r="BM27" s="574"/>
      <c r="BN27" s="566" t="s">
        <v>106</v>
      </c>
      <c r="BO27" s="306"/>
      <c r="BP27" s="306"/>
      <c r="BQ27" s="487"/>
      <c r="BR27" s="566" t="s">
        <v>106</v>
      </c>
      <c r="BS27" s="306"/>
      <c r="BT27" s="306"/>
      <c r="BU27" s="487"/>
      <c r="BV27" s="580" t="s">
        <v>33</v>
      </c>
      <c r="BW27" s="581"/>
      <c r="BX27" s="666" t="s">
        <v>323</v>
      </c>
      <c r="BY27" s="667"/>
      <c r="BZ27" s="486"/>
      <c r="CA27" s="306"/>
      <c r="CB27" s="487"/>
      <c r="CC27" s="560"/>
      <c r="CD27" s="561"/>
      <c r="CE27" s="561"/>
      <c r="CF27" s="561"/>
      <c r="CG27" s="561"/>
      <c r="CH27" s="561"/>
      <c r="CI27" s="561"/>
      <c r="CJ27" s="561"/>
      <c r="CK27" s="561"/>
      <c r="CL27" s="561"/>
      <c r="CM27" s="562"/>
      <c r="CN27" s="87"/>
      <c r="CO27" s="87"/>
      <c r="CP27" s="87"/>
      <c r="CQ27" s="87"/>
      <c r="CR27" s="87"/>
      <c r="CS27" s="87"/>
      <c r="CT27" s="87"/>
      <c r="CU27" s="87"/>
      <c r="CV27" s="87"/>
      <c r="CW27" s="87"/>
    </row>
    <row r="28" spans="1:101" s="75" customFormat="1" ht="25.65" customHeight="1">
      <c r="A28" s="486">
        <f t="shared" si="1"/>
        <v>22</v>
      </c>
      <c r="B28" s="487"/>
      <c r="C28" s="563" t="s">
        <v>290</v>
      </c>
      <c r="D28" s="564"/>
      <c r="E28" s="564"/>
      <c r="F28" s="564"/>
      <c r="G28" s="564"/>
      <c r="H28" s="565"/>
      <c r="I28" s="551" t="s">
        <v>372</v>
      </c>
      <c r="J28" s="552"/>
      <c r="K28" s="552"/>
      <c r="L28" s="553"/>
      <c r="M28" s="551" t="s">
        <v>291</v>
      </c>
      <c r="N28" s="552"/>
      <c r="O28" s="552"/>
      <c r="P28" s="553"/>
      <c r="Q28" s="208" t="s">
        <v>374</v>
      </c>
      <c r="R28" s="551" t="s">
        <v>335</v>
      </c>
      <c r="S28" s="552"/>
      <c r="T28" s="552"/>
      <c r="U28" s="553"/>
      <c r="V28" s="554" t="s">
        <v>363</v>
      </c>
      <c r="W28" s="555"/>
      <c r="X28" s="556"/>
      <c r="Y28" s="171" t="s">
        <v>449</v>
      </c>
      <c r="Z28" s="557" t="s">
        <v>71</v>
      </c>
      <c r="AA28" s="558"/>
      <c r="AB28" s="559"/>
      <c r="AC28" s="209" t="s">
        <v>387</v>
      </c>
      <c r="AD28" s="209" t="s">
        <v>455</v>
      </c>
      <c r="AE28" s="209" t="s">
        <v>388</v>
      </c>
      <c r="AF28" s="171" t="s">
        <v>419</v>
      </c>
      <c r="AG28" s="486" t="s">
        <v>302</v>
      </c>
      <c r="AH28" s="306"/>
      <c r="AI28" s="306"/>
      <c r="AJ28" s="306"/>
      <c r="AK28" s="306"/>
      <c r="AL28" s="306"/>
      <c r="AM28" s="306"/>
      <c r="AN28" s="306"/>
      <c r="AO28" s="306"/>
      <c r="AP28" s="306"/>
      <c r="AQ28" s="487"/>
      <c r="AR28" s="577" t="s">
        <v>311</v>
      </c>
      <c r="AS28" s="578"/>
      <c r="AT28" s="578"/>
      <c r="AU28" s="578"/>
      <c r="AV28" s="578"/>
      <c r="AW28" s="578"/>
      <c r="AX28" s="578"/>
      <c r="AY28" s="578"/>
      <c r="AZ28" s="578"/>
      <c r="BA28" s="578"/>
      <c r="BB28" s="579"/>
      <c r="BC28" s="629">
        <f t="shared" ref="BC28:BC29" si="4">680/1000</f>
        <v>0.68</v>
      </c>
      <c r="BD28" s="630"/>
      <c r="BE28" s="631"/>
      <c r="BF28" s="632" t="s">
        <v>386</v>
      </c>
      <c r="BG28" s="633"/>
      <c r="BH28" s="575">
        <v>25</v>
      </c>
      <c r="BI28" s="576"/>
      <c r="BJ28" s="573">
        <v>40</v>
      </c>
      <c r="BK28" s="574"/>
      <c r="BL28" s="575">
        <v>65</v>
      </c>
      <c r="BM28" s="576"/>
      <c r="BN28" s="566" t="s">
        <v>106</v>
      </c>
      <c r="BO28" s="306"/>
      <c r="BP28" s="306"/>
      <c r="BQ28" s="487"/>
      <c r="BR28" s="566" t="s">
        <v>106</v>
      </c>
      <c r="BS28" s="306"/>
      <c r="BT28" s="306"/>
      <c r="BU28" s="487"/>
      <c r="BV28" s="580" t="s">
        <v>81</v>
      </c>
      <c r="BW28" s="581"/>
      <c r="BX28" s="580" t="s">
        <v>295</v>
      </c>
      <c r="BY28" s="581"/>
      <c r="BZ28" s="486"/>
      <c r="CA28" s="306"/>
      <c r="CB28" s="487"/>
      <c r="CC28" s="560"/>
      <c r="CD28" s="561"/>
      <c r="CE28" s="561"/>
      <c r="CF28" s="561"/>
      <c r="CG28" s="561"/>
      <c r="CH28" s="561"/>
      <c r="CI28" s="561"/>
      <c r="CJ28" s="561"/>
      <c r="CK28" s="561"/>
      <c r="CL28" s="561"/>
      <c r="CM28" s="562"/>
      <c r="CN28" s="87"/>
      <c r="CO28" s="87"/>
      <c r="CP28" s="87"/>
      <c r="CQ28" s="87"/>
      <c r="CR28" s="87"/>
      <c r="CS28" s="87"/>
      <c r="CT28" s="87"/>
      <c r="CU28" s="87"/>
      <c r="CV28" s="87"/>
      <c r="CW28" s="87"/>
    </row>
    <row r="29" spans="1:101" s="75" customFormat="1" ht="25.65" customHeight="1">
      <c r="A29" s="486">
        <f t="shared" si="1"/>
        <v>23</v>
      </c>
      <c r="B29" s="487"/>
      <c r="C29" s="563" t="s">
        <v>290</v>
      </c>
      <c r="D29" s="564"/>
      <c r="E29" s="564"/>
      <c r="F29" s="564"/>
      <c r="G29" s="564"/>
      <c r="H29" s="565"/>
      <c r="I29" s="551" t="s">
        <v>372</v>
      </c>
      <c r="J29" s="552"/>
      <c r="K29" s="552"/>
      <c r="L29" s="553"/>
      <c r="M29" s="551" t="s">
        <v>291</v>
      </c>
      <c r="N29" s="552"/>
      <c r="O29" s="552"/>
      <c r="P29" s="553"/>
      <c r="Q29" s="208" t="s">
        <v>374</v>
      </c>
      <c r="R29" s="551" t="s">
        <v>325</v>
      </c>
      <c r="S29" s="552"/>
      <c r="T29" s="552"/>
      <c r="U29" s="553"/>
      <c r="V29" s="554" t="s">
        <v>363</v>
      </c>
      <c r="W29" s="555"/>
      <c r="X29" s="556"/>
      <c r="Y29" s="171" t="s">
        <v>449</v>
      </c>
      <c r="Z29" s="557" t="s">
        <v>71</v>
      </c>
      <c r="AA29" s="558"/>
      <c r="AB29" s="559"/>
      <c r="AC29" s="209" t="s">
        <v>387</v>
      </c>
      <c r="AD29" s="209" t="s">
        <v>455</v>
      </c>
      <c r="AE29" s="209" t="s">
        <v>388</v>
      </c>
      <c r="AF29" s="171" t="s">
        <v>420</v>
      </c>
      <c r="AG29" s="486" t="s">
        <v>308</v>
      </c>
      <c r="AH29" s="306"/>
      <c r="AI29" s="306"/>
      <c r="AJ29" s="306"/>
      <c r="AK29" s="306"/>
      <c r="AL29" s="306"/>
      <c r="AM29" s="306"/>
      <c r="AN29" s="306"/>
      <c r="AO29" s="306"/>
      <c r="AP29" s="306"/>
      <c r="AQ29" s="487"/>
      <c r="AR29" s="577" t="s">
        <v>311</v>
      </c>
      <c r="AS29" s="578"/>
      <c r="AT29" s="578"/>
      <c r="AU29" s="578"/>
      <c r="AV29" s="578"/>
      <c r="AW29" s="578"/>
      <c r="AX29" s="578"/>
      <c r="AY29" s="578"/>
      <c r="AZ29" s="578"/>
      <c r="BA29" s="578"/>
      <c r="BB29" s="579"/>
      <c r="BC29" s="629">
        <f t="shared" si="4"/>
        <v>0.68</v>
      </c>
      <c r="BD29" s="630"/>
      <c r="BE29" s="631"/>
      <c r="BF29" s="632" t="s">
        <v>386</v>
      </c>
      <c r="BG29" s="633"/>
      <c r="BH29" s="575">
        <v>25</v>
      </c>
      <c r="BI29" s="576"/>
      <c r="BJ29" s="573">
        <v>40</v>
      </c>
      <c r="BK29" s="574"/>
      <c r="BL29" s="575">
        <v>65</v>
      </c>
      <c r="BM29" s="576"/>
      <c r="BN29" s="566" t="s">
        <v>106</v>
      </c>
      <c r="BO29" s="306"/>
      <c r="BP29" s="306"/>
      <c r="BQ29" s="487"/>
      <c r="BR29" s="566" t="s">
        <v>106</v>
      </c>
      <c r="BS29" s="306"/>
      <c r="BT29" s="306"/>
      <c r="BU29" s="487"/>
      <c r="BV29" s="580" t="s">
        <v>81</v>
      </c>
      <c r="BW29" s="581"/>
      <c r="BX29" s="580" t="s">
        <v>295</v>
      </c>
      <c r="BY29" s="581"/>
      <c r="BZ29" s="486"/>
      <c r="CA29" s="306"/>
      <c r="CB29" s="487"/>
      <c r="CC29" s="560"/>
      <c r="CD29" s="561"/>
      <c r="CE29" s="561"/>
      <c r="CF29" s="561"/>
      <c r="CG29" s="561"/>
      <c r="CH29" s="561"/>
      <c r="CI29" s="561"/>
      <c r="CJ29" s="561"/>
      <c r="CK29" s="561"/>
      <c r="CL29" s="561"/>
      <c r="CM29" s="562"/>
      <c r="CN29" s="87"/>
      <c r="CO29" s="87"/>
      <c r="CP29" s="87"/>
      <c r="CQ29" s="87"/>
      <c r="CR29" s="87"/>
      <c r="CS29" s="87"/>
      <c r="CT29" s="87"/>
      <c r="CU29" s="87"/>
      <c r="CV29" s="87"/>
      <c r="CW29" s="87"/>
    </row>
    <row r="30" spans="1:101" s="75" customFormat="1" ht="25.65" customHeight="1">
      <c r="A30" s="486">
        <f t="shared" si="1"/>
        <v>24</v>
      </c>
      <c r="B30" s="487"/>
      <c r="C30" s="563" t="s">
        <v>290</v>
      </c>
      <c r="D30" s="564"/>
      <c r="E30" s="564"/>
      <c r="F30" s="564"/>
      <c r="G30" s="564"/>
      <c r="H30" s="565"/>
      <c r="I30" s="551" t="s">
        <v>372</v>
      </c>
      <c r="J30" s="552"/>
      <c r="K30" s="552"/>
      <c r="L30" s="553"/>
      <c r="M30" s="551" t="s">
        <v>291</v>
      </c>
      <c r="N30" s="552"/>
      <c r="O30" s="552"/>
      <c r="P30" s="553"/>
      <c r="Q30" s="208" t="s">
        <v>374</v>
      </c>
      <c r="R30" s="551" t="s">
        <v>326</v>
      </c>
      <c r="S30" s="552"/>
      <c r="T30" s="552"/>
      <c r="U30" s="553"/>
      <c r="V30" s="554" t="s">
        <v>363</v>
      </c>
      <c r="W30" s="555"/>
      <c r="X30" s="556"/>
      <c r="Y30" s="171" t="s">
        <v>449</v>
      </c>
      <c r="Z30" s="557" t="s">
        <v>29</v>
      </c>
      <c r="AA30" s="558"/>
      <c r="AB30" s="559"/>
      <c r="AC30" s="209" t="s">
        <v>387</v>
      </c>
      <c r="AD30" s="209" t="s">
        <v>455</v>
      </c>
      <c r="AE30" s="209" t="s">
        <v>388</v>
      </c>
      <c r="AF30" s="171" t="s">
        <v>421</v>
      </c>
      <c r="AG30" s="486" t="s">
        <v>308</v>
      </c>
      <c r="AH30" s="306"/>
      <c r="AI30" s="306"/>
      <c r="AJ30" s="306"/>
      <c r="AK30" s="306"/>
      <c r="AL30" s="306"/>
      <c r="AM30" s="306"/>
      <c r="AN30" s="306"/>
      <c r="AO30" s="306"/>
      <c r="AP30" s="306"/>
      <c r="AQ30" s="487"/>
      <c r="AR30" s="577" t="s">
        <v>422</v>
      </c>
      <c r="AS30" s="578"/>
      <c r="AT30" s="578"/>
      <c r="AU30" s="578"/>
      <c r="AV30" s="578"/>
      <c r="AW30" s="578"/>
      <c r="AX30" s="578"/>
      <c r="AY30" s="578"/>
      <c r="AZ30" s="578"/>
      <c r="BA30" s="578"/>
      <c r="BB30" s="579"/>
      <c r="BC30" s="570">
        <v>7.0000000000000001E-3</v>
      </c>
      <c r="BD30" s="571"/>
      <c r="BE30" s="572"/>
      <c r="BF30" s="573">
        <v>14</v>
      </c>
      <c r="BG30" s="574"/>
      <c r="BH30" s="575">
        <v>25</v>
      </c>
      <c r="BI30" s="576"/>
      <c r="BJ30" s="573">
        <v>40</v>
      </c>
      <c r="BK30" s="574"/>
      <c r="BL30" s="575">
        <v>65</v>
      </c>
      <c r="BM30" s="576"/>
      <c r="BN30" s="566" t="s">
        <v>106</v>
      </c>
      <c r="BO30" s="306"/>
      <c r="BP30" s="306"/>
      <c r="BQ30" s="487"/>
      <c r="BR30" s="566" t="s">
        <v>106</v>
      </c>
      <c r="BS30" s="306"/>
      <c r="BT30" s="306"/>
      <c r="BU30" s="487"/>
      <c r="BV30" s="580" t="s">
        <v>81</v>
      </c>
      <c r="BW30" s="581"/>
      <c r="BX30" s="580" t="s">
        <v>295</v>
      </c>
      <c r="BY30" s="581"/>
      <c r="BZ30" s="486"/>
      <c r="CA30" s="306"/>
      <c r="CB30" s="487"/>
      <c r="CC30" s="560"/>
      <c r="CD30" s="561"/>
      <c r="CE30" s="561"/>
      <c r="CF30" s="561"/>
      <c r="CG30" s="561"/>
      <c r="CH30" s="561"/>
      <c r="CI30" s="561"/>
      <c r="CJ30" s="561"/>
      <c r="CK30" s="561"/>
      <c r="CL30" s="561"/>
      <c r="CM30" s="562"/>
      <c r="CN30" s="87"/>
      <c r="CO30" s="87"/>
      <c r="CP30" s="87"/>
      <c r="CQ30" s="87"/>
      <c r="CR30" s="87"/>
      <c r="CS30" s="87"/>
      <c r="CT30" s="87"/>
      <c r="CU30" s="87"/>
      <c r="CV30" s="87"/>
      <c r="CW30" s="87"/>
    </row>
    <row r="31" spans="1:101" s="75" customFormat="1" ht="25.65" customHeight="1">
      <c r="A31" s="486">
        <f t="shared" si="1"/>
        <v>25</v>
      </c>
      <c r="B31" s="487"/>
      <c r="C31" s="563" t="s">
        <v>290</v>
      </c>
      <c r="D31" s="564"/>
      <c r="E31" s="564"/>
      <c r="F31" s="564"/>
      <c r="G31" s="564"/>
      <c r="H31" s="565"/>
      <c r="I31" s="551" t="s">
        <v>372</v>
      </c>
      <c r="J31" s="552"/>
      <c r="K31" s="552"/>
      <c r="L31" s="553"/>
      <c r="M31" s="551" t="s">
        <v>291</v>
      </c>
      <c r="N31" s="552"/>
      <c r="O31" s="552"/>
      <c r="P31" s="553"/>
      <c r="Q31" s="208" t="s">
        <v>374</v>
      </c>
      <c r="R31" s="551" t="s">
        <v>327</v>
      </c>
      <c r="S31" s="552"/>
      <c r="T31" s="552"/>
      <c r="U31" s="553"/>
      <c r="V31" s="554" t="s">
        <v>363</v>
      </c>
      <c r="W31" s="555"/>
      <c r="X31" s="556"/>
      <c r="Y31" s="171" t="s">
        <v>449</v>
      </c>
      <c r="Z31" s="557" t="s">
        <v>29</v>
      </c>
      <c r="AA31" s="558"/>
      <c r="AB31" s="559"/>
      <c r="AC31" s="209" t="s">
        <v>387</v>
      </c>
      <c r="AD31" s="209" t="s">
        <v>455</v>
      </c>
      <c r="AE31" s="209" t="s">
        <v>388</v>
      </c>
      <c r="AF31" s="171" t="s">
        <v>422</v>
      </c>
      <c r="AG31" s="577" t="s">
        <v>423</v>
      </c>
      <c r="AH31" s="578"/>
      <c r="AI31" s="578"/>
      <c r="AJ31" s="578"/>
      <c r="AK31" s="578"/>
      <c r="AL31" s="578"/>
      <c r="AM31" s="578"/>
      <c r="AN31" s="578"/>
      <c r="AO31" s="578"/>
      <c r="AP31" s="578"/>
      <c r="AQ31" s="579"/>
      <c r="AR31" s="577" t="s">
        <v>328</v>
      </c>
      <c r="AS31" s="578"/>
      <c r="AT31" s="578"/>
      <c r="AU31" s="578"/>
      <c r="AV31" s="578"/>
      <c r="AW31" s="578"/>
      <c r="AX31" s="578"/>
      <c r="AY31" s="578"/>
      <c r="AZ31" s="578"/>
      <c r="BA31" s="578"/>
      <c r="BB31" s="579"/>
      <c r="BC31" s="570">
        <v>7.0000000000000001E-3</v>
      </c>
      <c r="BD31" s="571"/>
      <c r="BE31" s="572"/>
      <c r="BF31" s="573">
        <v>14</v>
      </c>
      <c r="BG31" s="574"/>
      <c r="BH31" s="575">
        <v>25</v>
      </c>
      <c r="BI31" s="576"/>
      <c r="BJ31" s="573">
        <v>40</v>
      </c>
      <c r="BK31" s="574"/>
      <c r="BL31" s="575">
        <v>65</v>
      </c>
      <c r="BM31" s="576"/>
      <c r="BN31" s="566" t="s">
        <v>106</v>
      </c>
      <c r="BO31" s="306"/>
      <c r="BP31" s="306"/>
      <c r="BQ31" s="487"/>
      <c r="BR31" s="566" t="s">
        <v>106</v>
      </c>
      <c r="BS31" s="306"/>
      <c r="BT31" s="306"/>
      <c r="BU31" s="487"/>
      <c r="BV31" s="580" t="s">
        <v>81</v>
      </c>
      <c r="BW31" s="581"/>
      <c r="BX31" s="580" t="s">
        <v>295</v>
      </c>
      <c r="BY31" s="581"/>
      <c r="BZ31" s="486"/>
      <c r="CA31" s="306"/>
      <c r="CB31" s="487"/>
      <c r="CC31" s="560"/>
      <c r="CD31" s="561"/>
      <c r="CE31" s="561"/>
      <c r="CF31" s="561"/>
      <c r="CG31" s="561"/>
      <c r="CH31" s="561"/>
      <c r="CI31" s="561"/>
      <c r="CJ31" s="561"/>
      <c r="CK31" s="561"/>
      <c r="CL31" s="561"/>
      <c r="CM31" s="562"/>
      <c r="CN31" s="87"/>
      <c r="CO31" s="87"/>
      <c r="CP31" s="87"/>
      <c r="CQ31" s="87"/>
      <c r="CR31" s="87"/>
      <c r="CS31" s="87"/>
      <c r="CT31" s="87"/>
      <c r="CU31" s="87"/>
      <c r="CV31" s="87"/>
      <c r="CW31" s="87"/>
    </row>
    <row r="32" spans="1:101" s="75" customFormat="1" ht="25.65" customHeight="1">
      <c r="A32" s="486">
        <f t="shared" si="1"/>
        <v>26</v>
      </c>
      <c r="B32" s="487"/>
      <c r="C32" s="563" t="s">
        <v>290</v>
      </c>
      <c r="D32" s="564"/>
      <c r="E32" s="564"/>
      <c r="F32" s="564"/>
      <c r="G32" s="564"/>
      <c r="H32" s="565"/>
      <c r="I32" s="551" t="s">
        <v>372</v>
      </c>
      <c r="J32" s="552"/>
      <c r="K32" s="552"/>
      <c r="L32" s="553"/>
      <c r="M32" s="551" t="s">
        <v>291</v>
      </c>
      <c r="N32" s="552"/>
      <c r="O32" s="552"/>
      <c r="P32" s="553"/>
      <c r="Q32" s="208" t="s">
        <v>374</v>
      </c>
      <c r="R32" s="551" t="s">
        <v>329</v>
      </c>
      <c r="S32" s="552"/>
      <c r="T32" s="552"/>
      <c r="U32" s="553"/>
      <c r="V32" s="554" t="s">
        <v>363</v>
      </c>
      <c r="W32" s="555"/>
      <c r="X32" s="556"/>
      <c r="Y32" s="171" t="s">
        <v>449</v>
      </c>
      <c r="Z32" s="557" t="s">
        <v>29</v>
      </c>
      <c r="AA32" s="558"/>
      <c r="AB32" s="559"/>
      <c r="AC32" s="209" t="s">
        <v>387</v>
      </c>
      <c r="AD32" s="209" t="s">
        <v>455</v>
      </c>
      <c r="AE32" s="209" t="s">
        <v>388</v>
      </c>
      <c r="AF32" s="171" t="s">
        <v>423</v>
      </c>
      <c r="AG32" s="577" t="s">
        <v>406</v>
      </c>
      <c r="AH32" s="578"/>
      <c r="AI32" s="578"/>
      <c r="AJ32" s="578"/>
      <c r="AK32" s="578"/>
      <c r="AL32" s="578"/>
      <c r="AM32" s="578"/>
      <c r="AN32" s="578"/>
      <c r="AO32" s="578"/>
      <c r="AP32" s="578"/>
      <c r="AQ32" s="579"/>
      <c r="AR32" s="577" t="s">
        <v>422</v>
      </c>
      <c r="AS32" s="578"/>
      <c r="AT32" s="578"/>
      <c r="AU32" s="578"/>
      <c r="AV32" s="578"/>
      <c r="AW32" s="578"/>
      <c r="AX32" s="578"/>
      <c r="AY32" s="578"/>
      <c r="AZ32" s="578"/>
      <c r="BA32" s="578"/>
      <c r="BB32" s="579"/>
      <c r="BC32" s="570">
        <v>7.0000000000000001E-3</v>
      </c>
      <c r="BD32" s="571"/>
      <c r="BE32" s="572"/>
      <c r="BF32" s="573">
        <v>14</v>
      </c>
      <c r="BG32" s="574"/>
      <c r="BH32" s="575">
        <v>25</v>
      </c>
      <c r="BI32" s="576"/>
      <c r="BJ32" s="573">
        <v>40</v>
      </c>
      <c r="BK32" s="574"/>
      <c r="BL32" s="575">
        <v>65</v>
      </c>
      <c r="BM32" s="576"/>
      <c r="BN32" s="566" t="s">
        <v>106</v>
      </c>
      <c r="BO32" s="306"/>
      <c r="BP32" s="306"/>
      <c r="BQ32" s="487"/>
      <c r="BR32" s="566" t="s">
        <v>106</v>
      </c>
      <c r="BS32" s="306"/>
      <c r="BT32" s="306"/>
      <c r="BU32" s="487"/>
      <c r="BV32" s="580" t="s">
        <v>81</v>
      </c>
      <c r="BW32" s="581"/>
      <c r="BX32" s="580" t="s">
        <v>295</v>
      </c>
      <c r="BY32" s="581"/>
      <c r="BZ32" s="486"/>
      <c r="CA32" s="306"/>
      <c r="CB32" s="487"/>
      <c r="CC32" s="560"/>
      <c r="CD32" s="561"/>
      <c r="CE32" s="561"/>
      <c r="CF32" s="561"/>
      <c r="CG32" s="561"/>
      <c r="CH32" s="561"/>
      <c r="CI32" s="561"/>
      <c r="CJ32" s="561"/>
      <c r="CK32" s="561"/>
      <c r="CL32" s="561"/>
      <c r="CM32" s="562"/>
      <c r="CN32" s="87"/>
      <c r="CO32" s="87"/>
      <c r="CP32" s="87"/>
      <c r="CQ32" s="87"/>
      <c r="CR32" s="87"/>
      <c r="CS32" s="87"/>
      <c r="CT32" s="87"/>
      <c r="CU32" s="87"/>
      <c r="CV32" s="87"/>
      <c r="CW32" s="87"/>
    </row>
    <row r="33" spans="1:101" s="75" customFormat="1" ht="25.65" customHeight="1">
      <c r="A33" s="486">
        <f t="shared" si="1"/>
        <v>27</v>
      </c>
      <c r="B33" s="487"/>
      <c r="C33" s="563" t="s">
        <v>290</v>
      </c>
      <c r="D33" s="564"/>
      <c r="E33" s="564"/>
      <c r="F33" s="564"/>
      <c r="G33" s="564"/>
      <c r="H33" s="565"/>
      <c r="I33" s="551" t="s">
        <v>372</v>
      </c>
      <c r="J33" s="552"/>
      <c r="K33" s="552"/>
      <c r="L33" s="553"/>
      <c r="M33" s="551" t="s">
        <v>330</v>
      </c>
      <c r="N33" s="552"/>
      <c r="O33" s="552"/>
      <c r="P33" s="553"/>
      <c r="Q33" s="208" t="s">
        <v>374</v>
      </c>
      <c r="R33" s="551" t="s">
        <v>325</v>
      </c>
      <c r="S33" s="552"/>
      <c r="T33" s="552"/>
      <c r="U33" s="553"/>
      <c r="V33" s="551" t="s">
        <v>362</v>
      </c>
      <c r="W33" s="552"/>
      <c r="X33" s="553"/>
      <c r="Y33" s="171" t="s">
        <v>451</v>
      </c>
      <c r="Z33" s="557" t="s">
        <v>29</v>
      </c>
      <c r="AA33" s="558"/>
      <c r="AB33" s="559"/>
      <c r="AC33" s="209" t="s">
        <v>390</v>
      </c>
      <c r="AD33" s="209" t="s">
        <v>393</v>
      </c>
      <c r="AE33" s="209" t="s">
        <v>389</v>
      </c>
      <c r="AF33" s="171" t="s">
        <v>424</v>
      </c>
      <c r="AG33" s="577" t="s">
        <v>423</v>
      </c>
      <c r="AH33" s="578"/>
      <c r="AI33" s="578"/>
      <c r="AJ33" s="578"/>
      <c r="AK33" s="578"/>
      <c r="AL33" s="578"/>
      <c r="AM33" s="578"/>
      <c r="AN33" s="578"/>
      <c r="AO33" s="578"/>
      <c r="AP33" s="578"/>
      <c r="AQ33" s="579"/>
      <c r="AR33" s="577" t="s">
        <v>423</v>
      </c>
      <c r="AS33" s="578"/>
      <c r="AT33" s="578"/>
      <c r="AU33" s="578"/>
      <c r="AV33" s="578"/>
      <c r="AW33" s="578"/>
      <c r="AX33" s="578"/>
      <c r="AY33" s="578"/>
      <c r="AZ33" s="578"/>
      <c r="BA33" s="578"/>
      <c r="BB33" s="579"/>
      <c r="BC33" s="486">
        <v>0.97</v>
      </c>
      <c r="BD33" s="306"/>
      <c r="BE33" s="487"/>
      <c r="BF33" s="587">
        <v>4.5</v>
      </c>
      <c r="BG33" s="588"/>
      <c r="BH33" s="573">
        <v>7</v>
      </c>
      <c r="BI33" s="574"/>
      <c r="BJ33" s="587">
        <v>50</v>
      </c>
      <c r="BK33" s="588"/>
      <c r="BL33" s="573">
        <v>65</v>
      </c>
      <c r="BM33" s="574"/>
      <c r="BN33" s="566" t="s">
        <v>106</v>
      </c>
      <c r="BO33" s="306"/>
      <c r="BP33" s="306"/>
      <c r="BQ33" s="487"/>
      <c r="BR33" s="566" t="s">
        <v>106</v>
      </c>
      <c r="BS33" s="306"/>
      <c r="BT33" s="306"/>
      <c r="BU33" s="487"/>
      <c r="BV33" s="580" t="s">
        <v>81</v>
      </c>
      <c r="BW33" s="581"/>
      <c r="BX33" s="580" t="s">
        <v>295</v>
      </c>
      <c r="BY33" s="581"/>
      <c r="BZ33" s="486"/>
      <c r="CA33" s="306"/>
      <c r="CB33" s="487"/>
      <c r="CC33" s="560"/>
      <c r="CD33" s="561"/>
      <c r="CE33" s="561"/>
      <c r="CF33" s="561"/>
      <c r="CG33" s="561"/>
      <c r="CH33" s="561"/>
      <c r="CI33" s="561"/>
      <c r="CJ33" s="561"/>
      <c r="CK33" s="561"/>
      <c r="CL33" s="561"/>
      <c r="CM33" s="562"/>
      <c r="CN33" s="87"/>
      <c r="CO33" s="87"/>
      <c r="CP33" s="87"/>
      <c r="CQ33" s="87"/>
      <c r="CR33" s="87"/>
      <c r="CS33" s="87"/>
      <c r="CT33" s="87"/>
      <c r="CU33" s="87"/>
      <c r="CV33" s="87"/>
      <c r="CW33" s="87"/>
    </row>
    <row r="34" spans="1:101" s="75" customFormat="1" ht="25.65" customHeight="1">
      <c r="A34" s="486">
        <f t="shared" si="1"/>
        <v>28</v>
      </c>
      <c r="B34" s="487"/>
      <c r="C34" s="563" t="s">
        <v>290</v>
      </c>
      <c r="D34" s="564"/>
      <c r="E34" s="564"/>
      <c r="F34" s="564"/>
      <c r="G34" s="564"/>
      <c r="H34" s="565"/>
      <c r="I34" s="551" t="s">
        <v>371</v>
      </c>
      <c r="J34" s="552"/>
      <c r="K34" s="552"/>
      <c r="L34" s="553"/>
      <c r="M34" s="551" t="s">
        <v>291</v>
      </c>
      <c r="N34" s="552"/>
      <c r="O34" s="552"/>
      <c r="P34" s="553"/>
      <c r="Q34" s="208" t="s">
        <v>374</v>
      </c>
      <c r="R34" s="551" t="s">
        <v>331</v>
      </c>
      <c r="S34" s="552"/>
      <c r="T34" s="552"/>
      <c r="U34" s="553"/>
      <c r="V34" s="554" t="s">
        <v>363</v>
      </c>
      <c r="W34" s="555"/>
      <c r="X34" s="556"/>
      <c r="Y34" s="171" t="s">
        <v>449</v>
      </c>
      <c r="Z34" s="557" t="s">
        <v>29</v>
      </c>
      <c r="AA34" s="558"/>
      <c r="AB34" s="559"/>
      <c r="AC34" s="209" t="s">
        <v>387</v>
      </c>
      <c r="AD34" s="209" t="s">
        <v>455</v>
      </c>
      <c r="AE34" s="209" t="s">
        <v>388</v>
      </c>
      <c r="AF34" s="171" t="s">
        <v>425</v>
      </c>
      <c r="AG34" s="577" t="s">
        <v>421</v>
      </c>
      <c r="AH34" s="578"/>
      <c r="AI34" s="578"/>
      <c r="AJ34" s="578"/>
      <c r="AK34" s="578"/>
      <c r="AL34" s="578"/>
      <c r="AM34" s="578"/>
      <c r="AN34" s="578"/>
      <c r="AO34" s="578"/>
      <c r="AP34" s="578"/>
      <c r="AQ34" s="579"/>
      <c r="AR34" s="577" t="s">
        <v>332</v>
      </c>
      <c r="AS34" s="578"/>
      <c r="AT34" s="578"/>
      <c r="AU34" s="578"/>
      <c r="AV34" s="578"/>
      <c r="AW34" s="578"/>
      <c r="AX34" s="578"/>
      <c r="AY34" s="578"/>
      <c r="AZ34" s="578"/>
      <c r="BA34" s="578"/>
      <c r="BB34" s="579"/>
      <c r="BC34" s="570">
        <v>7.0000000000000001E-3</v>
      </c>
      <c r="BD34" s="571"/>
      <c r="BE34" s="572"/>
      <c r="BF34" s="573">
        <v>14</v>
      </c>
      <c r="BG34" s="574"/>
      <c r="BH34" s="575">
        <v>25</v>
      </c>
      <c r="BI34" s="576"/>
      <c r="BJ34" s="573">
        <v>40</v>
      </c>
      <c r="BK34" s="574"/>
      <c r="BL34" s="575">
        <v>65</v>
      </c>
      <c r="BM34" s="576"/>
      <c r="BN34" s="566" t="s">
        <v>106</v>
      </c>
      <c r="BO34" s="306"/>
      <c r="BP34" s="306"/>
      <c r="BQ34" s="487"/>
      <c r="BR34" s="566" t="s">
        <v>106</v>
      </c>
      <c r="BS34" s="306"/>
      <c r="BT34" s="306"/>
      <c r="BU34" s="487"/>
      <c r="BV34" s="580" t="s">
        <v>81</v>
      </c>
      <c r="BW34" s="581"/>
      <c r="BX34" s="580" t="s">
        <v>295</v>
      </c>
      <c r="BY34" s="581"/>
      <c r="BZ34" s="486"/>
      <c r="CA34" s="306"/>
      <c r="CB34" s="487"/>
      <c r="CC34" s="560"/>
      <c r="CD34" s="561"/>
      <c r="CE34" s="561"/>
      <c r="CF34" s="561"/>
      <c r="CG34" s="561"/>
      <c r="CH34" s="561"/>
      <c r="CI34" s="561"/>
      <c r="CJ34" s="561"/>
      <c r="CK34" s="561"/>
      <c r="CL34" s="561"/>
      <c r="CM34" s="562"/>
      <c r="CN34" s="87"/>
      <c r="CO34" s="87"/>
      <c r="CP34" s="87"/>
      <c r="CQ34" s="87"/>
      <c r="CR34" s="87"/>
      <c r="CS34" s="87"/>
      <c r="CT34" s="87"/>
      <c r="CU34" s="87"/>
      <c r="CV34" s="87"/>
      <c r="CW34" s="87"/>
    </row>
    <row r="35" spans="1:101" s="75" customFormat="1" ht="25.65" customHeight="1">
      <c r="A35" s="486">
        <f t="shared" si="1"/>
        <v>29</v>
      </c>
      <c r="B35" s="487"/>
      <c r="C35" s="563" t="s">
        <v>290</v>
      </c>
      <c r="D35" s="564"/>
      <c r="E35" s="564"/>
      <c r="F35" s="564"/>
      <c r="G35" s="564"/>
      <c r="H35" s="565"/>
      <c r="I35" s="551" t="s">
        <v>372</v>
      </c>
      <c r="J35" s="552"/>
      <c r="K35" s="552"/>
      <c r="L35" s="553"/>
      <c r="M35" s="551" t="s">
        <v>291</v>
      </c>
      <c r="N35" s="552"/>
      <c r="O35" s="552"/>
      <c r="P35" s="553"/>
      <c r="Q35" s="208" t="s">
        <v>374</v>
      </c>
      <c r="R35" s="551" t="s">
        <v>384</v>
      </c>
      <c r="S35" s="552"/>
      <c r="T35" s="552"/>
      <c r="U35" s="553"/>
      <c r="V35" s="554" t="s">
        <v>363</v>
      </c>
      <c r="W35" s="555"/>
      <c r="X35" s="556"/>
      <c r="Y35" s="171" t="s">
        <v>449</v>
      </c>
      <c r="Z35" s="557" t="s">
        <v>29</v>
      </c>
      <c r="AA35" s="558"/>
      <c r="AB35" s="559"/>
      <c r="AC35" s="209" t="s">
        <v>387</v>
      </c>
      <c r="AD35" s="209" t="s">
        <v>455</v>
      </c>
      <c r="AE35" s="209" t="s">
        <v>388</v>
      </c>
      <c r="AF35" s="171" t="s">
        <v>426</v>
      </c>
      <c r="AG35" s="577" t="s">
        <v>429</v>
      </c>
      <c r="AH35" s="578"/>
      <c r="AI35" s="578"/>
      <c r="AJ35" s="578"/>
      <c r="AK35" s="578"/>
      <c r="AL35" s="578"/>
      <c r="AM35" s="578"/>
      <c r="AN35" s="578"/>
      <c r="AO35" s="578"/>
      <c r="AP35" s="578"/>
      <c r="AQ35" s="579"/>
      <c r="AR35" s="577" t="s">
        <v>423</v>
      </c>
      <c r="AS35" s="578"/>
      <c r="AT35" s="578"/>
      <c r="AU35" s="578"/>
      <c r="AV35" s="578"/>
      <c r="AW35" s="578"/>
      <c r="AX35" s="578"/>
      <c r="AY35" s="578"/>
      <c r="AZ35" s="578"/>
      <c r="BA35" s="578"/>
      <c r="BB35" s="579"/>
      <c r="BC35" s="570">
        <v>7.0000000000000001E-3</v>
      </c>
      <c r="BD35" s="571"/>
      <c r="BE35" s="572"/>
      <c r="BF35" s="573">
        <v>14</v>
      </c>
      <c r="BG35" s="574"/>
      <c r="BH35" s="575">
        <v>25</v>
      </c>
      <c r="BI35" s="576"/>
      <c r="BJ35" s="573">
        <v>40</v>
      </c>
      <c r="BK35" s="574"/>
      <c r="BL35" s="575">
        <v>65</v>
      </c>
      <c r="BM35" s="576"/>
      <c r="BN35" s="566" t="s">
        <v>106</v>
      </c>
      <c r="BO35" s="306"/>
      <c r="BP35" s="306"/>
      <c r="BQ35" s="487"/>
      <c r="BR35" s="566" t="s">
        <v>106</v>
      </c>
      <c r="BS35" s="306"/>
      <c r="BT35" s="306"/>
      <c r="BU35" s="487"/>
      <c r="BV35" s="580" t="s">
        <v>81</v>
      </c>
      <c r="BW35" s="581"/>
      <c r="BX35" s="580" t="s">
        <v>295</v>
      </c>
      <c r="BY35" s="581"/>
      <c r="BZ35" s="486"/>
      <c r="CA35" s="306"/>
      <c r="CB35" s="487"/>
      <c r="CC35" s="560"/>
      <c r="CD35" s="561"/>
      <c r="CE35" s="561"/>
      <c r="CF35" s="561"/>
      <c r="CG35" s="561"/>
      <c r="CH35" s="561"/>
      <c r="CI35" s="561"/>
      <c r="CJ35" s="561"/>
      <c r="CK35" s="561"/>
      <c r="CL35" s="561"/>
      <c r="CM35" s="562"/>
      <c r="CN35" s="87"/>
      <c r="CO35" s="87"/>
      <c r="CP35" s="87"/>
      <c r="CQ35" s="87"/>
      <c r="CR35" s="87"/>
      <c r="CS35" s="87"/>
      <c r="CT35" s="87"/>
      <c r="CU35" s="87"/>
      <c r="CV35" s="87"/>
      <c r="CW35" s="87"/>
    </row>
    <row r="36" spans="1:101" s="75" customFormat="1" ht="25.65" customHeight="1">
      <c r="A36" s="486">
        <f t="shared" si="1"/>
        <v>30</v>
      </c>
      <c r="B36" s="487"/>
      <c r="C36" s="563" t="s">
        <v>290</v>
      </c>
      <c r="D36" s="564"/>
      <c r="E36" s="564"/>
      <c r="F36" s="564"/>
      <c r="G36" s="564"/>
      <c r="H36" s="565"/>
      <c r="I36" s="551" t="s">
        <v>371</v>
      </c>
      <c r="J36" s="552"/>
      <c r="K36" s="552"/>
      <c r="L36" s="553"/>
      <c r="M36" s="551" t="s">
        <v>291</v>
      </c>
      <c r="N36" s="552"/>
      <c r="O36" s="552"/>
      <c r="P36" s="553"/>
      <c r="Q36" s="208" t="s">
        <v>374</v>
      </c>
      <c r="R36" s="551" t="s">
        <v>333</v>
      </c>
      <c r="S36" s="552"/>
      <c r="T36" s="552"/>
      <c r="U36" s="553"/>
      <c r="V36" s="554" t="s">
        <v>363</v>
      </c>
      <c r="W36" s="555"/>
      <c r="X36" s="556"/>
      <c r="Y36" s="171" t="s">
        <v>449</v>
      </c>
      <c r="Z36" s="557" t="s">
        <v>29</v>
      </c>
      <c r="AA36" s="558"/>
      <c r="AB36" s="559"/>
      <c r="AC36" s="209" t="s">
        <v>387</v>
      </c>
      <c r="AD36" s="209" t="s">
        <v>455</v>
      </c>
      <c r="AE36" s="209" t="s">
        <v>388</v>
      </c>
      <c r="AF36" s="171" t="s">
        <v>427</v>
      </c>
      <c r="AG36" s="577" t="s">
        <v>426</v>
      </c>
      <c r="AH36" s="578"/>
      <c r="AI36" s="578"/>
      <c r="AJ36" s="578"/>
      <c r="AK36" s="578"/>
      <c r="AL36" s="578"/>
      <c r="AM36" s="578"/>
      <c r="AN36" s="578"/>
      <c r="AO36" s="578"/>
      <c r="AP36" s="578"/>
      <c r="AQ36" s="579"/>
      <c r="AR36" s="577" t="s">
        <v>332</v>
      </c>
      <c r="AS36" s="578"/>
      <c r="AT36" s="578"/>
      <c r="AU36" s="578"/>
      <c r="AV36" s="578"/>
      <c r="AW36" s="578"/>
      <c r="AX36" s="578"/>
      <c r="AY36" s="578"/>
      <c r="AZ36" s="578"/>
      <c r="BA36" s="578"/>
      <c r="BB36" s="579"/>
      <c r="BC36" s="570">
        <v>7.0000000000000001E-3</v>
      </c>
      <c r="BD36" s="571"/>
      <c r="BE36" s="572"/>
      <c r="BF36" s="573">
        <v>14</v>
      </c>
      <c r="BG36" s="574"/>
      <c r="BH36" s="575">
        <v>25</v>
      </c>
      <c r="BI36" s="576"/>
      <c r="BJ36" s="573">
        <v>40</v>
      </c>
      <c r="BK36" s="574"/>
      <c r="BL36" s="575">
        <v>65</v>
      </c>
      <c r="BM36" s="576"/>
      <c r="BN36" s="566" t="s">
        <v>106</v>
      </c>
      <c r="BO36" s="306"/>
      <c r="BP36" s="306"/>
      <c r="BQ36" s="487"/>
      <c r="BR36" s="566" t="s">
        <v>106</v>
      </c>
      <c r="BS36" s="306"/>
      <c r="BT36" s="306"/>
      <c r="BU36" s="487"/>
      <c r="BV36" s="580" t="s">
        <v>81</v>
      </c>
      <c r="BW36" s="581"/>
      <c r="BX36" s="580" t="s">
        <v>295</v>
      </c>
      <c r="BY36" s="581"/>
      <c r="BZ36" s="486"/>
      <c r="CA36" s="306"/>
      <c r="CB36" s="487"/>
      <c r="CC36" s="560"/>
      <c r="CD36" s="561"/>
      <c r="CE36" s="561"/>
      <c r="CF36" s="561"/>
      <c r="CG36" s="561"/>
      <c r="CH36" s="561"/>
      <c r="CI36" s="561"/>
      <c r="CJ36" s="561"/>
      <c r="CK36" s="561"/>
      <c r="CL36" s="561"/>
      <c r="CM36" s="562"/>
      <c r="CN36" s="87"/>
      <c r="CO36" s="87"/>
      <c r="CP36" s="87"/>
      <c r="CQ36" s="87"/>
      <c r="CR36" s="87"/>
      <c r="CS36" s="87"/>
      <c r="CT36" s="87"/>
      <c r="CU36" s="87"/>
      <c r="CV36" s="87"/>
      <c r="CW36" s="87"/>
    </row>
    <row r="37" spans="1:101" s="75" customFormat="1" ht="25.65" customHeight="1">
      <c r="A37" s="589">
        <f t="shared" si="1"/>
        <v>31</v>
      </c>
      <c r="B37" s="590"/>
      <c r="C37" s="617" t="s">
        <v>290</v>
      </c>
      <c r="D37" s="618"/>
      <c r="E37" s="618"/>
      <c r="F37" s="618"/>
      <c r="G37" s="618"/>
      <c r="H37" s="619"/>
      <c r="I37" s="551" t="s">
        <v>371</v>
      </c>
      <c r="J37" s="552"/>
      <c r="K37" s="552"/>
      <c r="L37" s="553"/>
      <c r="M37" s="620" t="s">
        <v>291</v>
      </c>
      <c r="N37" s="621"/>
      <c r="O37" s="621"/>
      <c r="P37" s="622"/>
      <c r="Q37" s="208" t="s">
        <v>374</v>
      </c>
      <c r="R37" s="620" t="s">
        <v>334</v>
      </c>
      <c r="S37" s="621"/>
      <c r="T37" s="621"/>
      <c r="U37" s="622"/>
      <c r="V37" s="554" t="s">
        <v>363</v>
      </c>
      <c r="W37" s="555"/>
      <c r="X37" s="556"/>
      <c r="Y37" s="171" t="s">
        <v>449</v>
      </c>
      <c r="Z37" s="623" t="s">
        <v>29</v>
      </c>
      <c r="AA37" s="624"/>
      <c r="AB37" s="625"/>
      <c r="AC37" s="209" t="s">
        <v>387</v>
      </c>
      <c r="AD37" s="209" t="s">
        <v>455</v>
      </c>
      <c r="AE37" s="209" t="s">
        <v>388</v>
      </c>
      <c r="AF37" s="171" t="s">
        <v>428</v>
      </c>
      <c r="AG37" s="567" t="s">
        <v>332</v>
      </c>
      <c r="AH37" s="568"/>
      <c r="AI37" s="568"/>
      <c r="AJ37" s="568"/>
      <c r="AK37" s="568"/>
      <c r="AL37" s="568"/>
      <c r="AM37" s="568"/>
      <c r="AN37" s="568"/>
      <c r="AO37" s="568"/>
      <c r="AP37" s="568"/>
      <c r="AQ37" s="569"/>
      <c r="AR37" s="567" t="s">
        <v>429</v>
      </c>
      <c r="AS37" s="568"/>
      <c r="AT37" s="568"/>
      <c r="AU37" s="568"/>
      <c r="AV37" s="568"/>
      <c r="AW37" s="568"/>
      <c r="AX37" s="568"/>
      <c r="AY37" s="568"/>
      <c r="AZ37" s="568"/>
      <c r="BA37" s="568"/>
      <c r="BB37" s="569"/>
      <c r="BC37" s="570">
        <v>7.0000000000000001E-3</v>
      </c>
      <c r="BD37" s="571"/>
      <c r="BE37" s="572"/>
      <c r="BF37" s="573">
        <v>14</v>
      </c>
      <c r="BG37" s="574"/>
      <c r="BH37" s="575">
        <v>25</v>
      </c>
      <c r="BI37" s="576"/>
      <c r="BJ37" s="573">
        <v>40</v>
      </c>
      <c r="BK37" s="574"/>
      <c r="BL37" s="575">
        <v>65</v>
      </c>
      <c r="BM37" s="576"/>
      <c r="BN37" s="591" t="s">
        <v>106</v>
      </c>
      <c r="BO37" s="488"/>
      <c r="BP37" s="488"/>
      <c r="BQ37" s="590"/>
      <c r="BR37" s="591" t="s">
        <v>106</v>
      </c>
      <c r="BS37" s="488"/>
      <c r="BT37" s="488"/>
      <c r="BU37" s="590"/>
      <c r="BV37" s="615" t="s">
        <v>81</v>
      </c>
      <c r="BW37" s="616"/>
      <c r="BX37" s="615" t="s">
        <v>295</v>
      </c>
      <c r="BY37" s="616"/>
      <c r="BZ37" s="589"/>
      <c r="CA37" s="488"/>
      <c r="CB37" s="590"/>
      <c r="CC37" s="626"/>
      <c r="CD37" s="627"/>
      <c r="CE37" s="627"/>
      <c r="CF37" s="627"/>
      <c r="CG37" s="627"/>
      <c r="CH37" s="627"/>
      <c r="CI37" s="627"/>
      <c r="CJ37" s="627"/>
      <c r="CK37" s="627"/>
      <c r="CL37" s="627"/>
      <c r="CM37" s="628"/>
      <c r="CN37" s="87"/>
      <c r="CO37" s="87"/>
      <c r="CP37" s="87"/>
      <c r="CQ37" s="87"/>
      <c r="CR37" s="87"/>
      <c r="CS37" s="87"/>
      <c r="CT37" s="87"/>
      <c r="CU37" s="87"/>
      <c r="CV37" s="87"/>
      <c r="CW37" s="87"/>
    </row>
    <row r="38" spans="1:101" s="75" customFormat="1" ht="25.65" customHeight="1">
      <c r="A38" s="486">
        <f t="shared" si="1"/>
        <v>32</v>
      </c>
      <c r="B38" s="487"/>
      <c r="C38" s="563" t="s">
        <v>290</v>
      </c>
      <c r="D38" s="564"/>
      <c r="E38" s="564"/>
      <c r="F38" s="564"/>
      <c r="G38" s="564"/>
      <c r="H38" s="565"/>
      <c r="I38" s="551" t="s">
        <v>372</v>
      </c>
      <c r="J38" s="552"/>
      <c r="K38" s="552"/>
      <c r="L38" s="553"/>
      <c r="M38" s="551" t="s">
        <v>291</v>
      </c>
      <c r="N38" s="552"/>
      <c r="O38" s="552"/>
      <c r="P38" s="553"/>
      <c r="Q38" s="208" t="s">
        <v>374</v>
      </c>
      <c r="R38" s="551" t="s">
        <v>324</v>
      </c>
      <c r="S38" s="552"/>
      <c r="T38" s="552"/>
      <c r="U38" s="553"/>
      <c r="V38" s="554" t="s">
        <v>363</v>
      </c>
      <c r="W38" s="555"/>
      <c r="X38" s="556"/>
      <c r="Y38" s="171" t="s">
        <v>449</v>
      </c>
      <c r="Z38" s="557" t="s">
        <v>29</v>
      </c>
      <c r="AA38" s="558"/>
      <c r="AB38" s="559"/>
      <c r="AC38" s="209" t="s">
        <v>387</v>
      </c>
      <c r="AD38" s="209" t="s">
        <v>455</v>
      </c>
      <c r="AE38" s="209" t="s">
        <v>388</v>
      </c>
      <c r="AF38" s="171" t="s">
        <v>429</v>
      </c>
      <c r="AG38" s="577" t="s">
        <v>421</v>
      </c>
      <c r="AH38" s="578"/>
      <c r="AI38" s="578"/>
      <c r="AJ38" s="578"/>
      <c r="AK38" s="578"/>
      <c r="AL38" s="578"/>
      <c r="AM38" s="578"/>
      <c r="AN38" s="578"/>
      <c r="AO38" s="578"/>
      <c r="AP38" s="578"/>
      <c r="AQ38" s="579"/>
      <c r="AR38" s="577" t="s">
        <v>430</v>
      </c>
      <c r="AS38" s="578"/>
      <c r="AT38" s="578"/>
      <c r="AU38" s="578"/>
      <c r="AV38" s="578"/>
      <c r="AW38" s="578"/>
      <c r="AX38" s="578"/>
      <c r="AY38" s="578"/>
      <c r="AZ38" s="578"/>
      <c r="BA38" s="578"/>
      <c r="BB38" s="579"/>
      <c r="BC38" s="570">
        <v>7.0000000000000001E-3</v>
      </c>
      <c r="BD38" s="571"/>
      <c r="BE38" s="572"/>
      <c r="BF38" s="573">
        <v>14</v>
      </c>
      <c r="BG38" s="574"/>
      <c r="BH38" s="575">
        <v>25</v>
      </c>
      <c r="BI38" s="576"/>
      <c r="BJ38" s="573">
        <v>40</v>
      </c>
      <c r="BK38" s="574"/>
      <c r="BL38" s="575">
        <v>65</v>
      </c>
      <c r="BM38" s="576"/>
      <c r="BN38" s="566" t="s">
        <v>106</v>
      </c>
      <c r="BO38" s="306"/>
      <c r="BP38" s="306"/>
      <c r="BQ38" s="487"/>
      <c r="BR38" s="566" t="s">
        <v>106</v>
      </c>
      <c r="BS38" s="306"/>
      <c r="BT38" s="306"/>
      <c r="BU38" s="487"/>
      <c r="BV38" s="580" t="s">
        <v>81</v>
      </c>
      <c r="BW38" s="581"/>
      <c r="BX38" s="580" t="s">
        <v>295</v>
      </c>
      <c r="BY38" s="581"/>
      <c r="BZ38" s="486"/>
      <c r="CA38" s="306"/>
      <c r="CB38" s="487"/>
      <c r="CC38" s="560"/>
      <c r="CD38" s="561"/>
      <c r="CE38" s="561"/>
      <c r="CF38" s="561"/>
      <c r="CG38" s="561"/>
      <c r="CH38" s="561"/>
      <c r="CI38" s="561"/>
      <c r="CJ38" s="561"/>
      <c r="CK38" s="561"/>
      <c r="CL38" s="561"/>
      <c r="CM38" s="562"/>
      <c r="CN38" s="87"/>
      <c r="CO38" s="87"/>
      <c r="CP38" s="87"/>
      <c r="CQ38" s="87"/>
      <c r="CR38" s="87"/>
      <c r="CS38" s="87"/>
      <c r="CT38" s="87"/>
      <c r="CU38" s="87"/>
      <c r="CV38" s="87"/>
      <c r="CW38" s="87"/>
    </row>
    <row r="39" spans="1:101" s="75" customFormat="1" ht="25.65" customHeight="1">
      <c r="A39" s="614">
        <f t="shared" si="1"/>
        <v>33</v>
      </c>
      <c r="B39" s="611"/>
      <c r="C39" s="641" t="s">
        <v>290</v>
      </c>
      <c r="D39" s="642"/>
      <c r="E39" s="642"/>
      <c r="F39" s="642"/>
      <c r="G39" s="642"/>
      <c r="H39" s="643"/>
      <c r="I39" s="554" t="s">
        <v>368</v>
      </c>
      <c r="J39" s="555"/>
      <c r="K39" s="555"/>
      <c r="L39" s="556"/>
      <c r="M39" s="554" t="s">
        <v>291</v>
      </c>
      <c r="N39" s="555"/>
      <c r="O39" s="555"/>
      <c r="P39" s="556"/>
      <c r="Q39" s="208" t="s">
        <v>374</v>
      </c>
      <c r="R39" s="554" t="s">
        <v>335</v>
      </c>
      <c r="S39" s="555"/>
      <c r="T39" s="555"/>
      <c r="U39" s="556"/>
      <c r="V39" s="554" t="s">
        <v>363</v>
      </c>
      <c r="W39" s="555"/>
      <c r="X39" s="556"/>
      <c r="Y39" s="171" t="s">
        <v>448</v>
      </c>
      <c r="Z39" s="639" t="s">
        <v>29</v>
      </c>
      <c r="AA39" s="640"/>
      <c r="AB39" s="633"/>
      <c r="AC39" s="209" t="s">
        <v>387</v>
      </c>
      <c r="AD39" s="209" t="s">
        <v>455</v>
      </c>
      <c r="AE39" s="209" t="s">
        <v>388</v>
      </c>
      <c r="AF39" s="171" t="s">
        <v>430</v>
      </c>
      <c r="AG39" s="634" t="s">
        <v>336</v>
      </c>
      <c r="AH39" s="635"/>
      <c r="AI39" s="635"/>
      <c r="AJ39" s="635"/>
      <c r="AK39" s="635"/>
      <c r="AL39" s="635"/>
      <c r="AM39" s="635"/>
      <c r="AN39" s="635"/>
      <c r="AO39" s="635"/>
      <c r="AP39" s="635"/>
      <c r="AQ39" s="636"/>
      <c r="AR39" s="634" t="s">
        <v>337</v>
      </c>
      <c r="AS39" s="635"/>
      <c r="AT39" s="635"/>
      <c r="AU39" s="635"/>
      <c r="AV39" s="635"/>
      <c r="AW39" s="635"/>
      <c r="AX39" s="635"/>
      <c r="AY39" s="635"/>
      <c r="AZ39" s="635"/>
      <c r="BA39" s="635"/>
      <c r="BB39" s="636"/>
      <c r="BC39" s="570">
        <v>7.0000000000000001E-3</v>
      </c>
      <c r="BD39" s="571"/>
      <c r="BE39" s="572"/>
      <c r="BF39" s="573">
        <v>14</v>
      </c>
      <c r="BG39" s="574"/>
      <c r="BH39" s="575">
        <v>25</v>
      </c>
      <c r="BI39" s="576"/>
      <c r="BJ39" s="573">
        <v>40</v>
      </c>
      <c r="BK39" s="574"/>
      <c r="BL39" s="575">
        <v>65</v>
      </c>
      <c r="BM39" s="576"/>
      <c r="BN39" s="609" t="s">
        <v>106</v>
      </c>
      <c r="BO39" s="610"/>
      <c r="BP39" s="610"/>
      <c r="BQ39" s="611"/>
      <c r="BR39" s="609" t="s">
        <v>106</v>
      </c>
      <c r="BS39" s="610"/>
      <c r="BT39" s="610"/>
      <c r="BU39" s="611"/>
      <c r="BV39" s="612" t="s">
        <v>81</v>
      </c>
      <c r="BW39" s="613"/>
      <c r="BX39" s="612" t="s">
        <v>295</v>
      </c>
      <c r="BY39" s="613"/>
      <c r="BZ39" s="614"/>
      <c r="CA39" s="610"/>
      <c r="CB39" s="611"/>
      <c r="CC39" s="606"/>
      <c r="CD39" s="607"/>
      <c r="CE39" s="607"/>
      <c r="CF39" s="607"/>
      <c r="CG39" s="607"/>
      <c r="CH39" s="607"/>
      <c r="CI39" s="607"/>
      <c r="CJ39" s="607"/>
      <c r="CK39" s="607"/>
      <c r="CL39" s="607"/>
      <c r="CM39" s="608"/>
      <c r="CN39" s="87"/>
      <c r="CO39" s="87"/>
      <c r="CP39" s="87"/>
      <c r="CQ39" s="87"/>
      <c r="CR39" s="87"/>
      <c r="CS39" s="87"/>
      <c r="CT39" s="87"/>
      <c r="CU39" s="87"/>
      <c r="CV39" s="87"/>
      <c r="CW39" s="87"/>
    </row>
    <row r="40" spans="1:101" s="75" customFormat="1" ht="25.65" customHeight="1">
      <c r="A40" s="486">
        <f t="shared" si="1"/>
        <v>34</v>
      </c>
      <c r="B40" s="487"/>
      <c r="C40" s="563" t="s">
        <v>290</v>
      </c>
      <c r="D40" s="564"/>
      <c r="E40" s="564"/>
      <c r="F40" s="564"/>
      <c r="G40" s="564"/>
      <c r="H40" s="565"/>
      <c r="I40" s="551" t="s">
        <v>369</v>
      </c>
      <c r="J40" s="552"/>
      <c r="K40" s="552"/>
      <c r="L40" s="553"/>
      <c r="M40" s="551" t="s">
        <v>330</v>
      </c>
      <c r="N40" s="552"/>
      <c r="O40" s="552"/>
      <c r="P40" s="553"/>
      <c r="Q40" s="208" t="s">
        <v>374</v>
      </c>
      <c r="R40" s="551" t="s">
        <v>324</v>
      </c>
      <c r="S40" s="552"/>
      <c r="T40" s="552"/>
      <c r="U40" s="553"/>
      <c r="V40" s="551" t="s">
        <v>362</v>
      </c>
      <c r="W40" s="552"/>
      <c r="X40" s="553"/>
      <c r="Y40" s="171" t="s">
        <v>452</v>
      </c>
      <c r="Z40" s="557" t="s">
        <v>29</v>
      </c>
      <c r="AA40" s="558"/>
      <c r="AB40" s="559"/>
      <c r="AC40" s="209" t="s">
        <v>390</v>
      </c>
      <c r="AD40" s="209" t="s">
        <v>393</v>
      </c>
      <c r="AE40" s="209" t="s">
        <v>389</v>
      </c>
      <c r="AF40" s="171" t="s">
        <v>431</v>
      </c>
      <c r="AG40" s="577" t="s">
        <v>435</v>
      </c>
      <c r="AH40" s="578"/>
      <c r="AI40" s="578"/>
      <c r="AJ40" s="578"/>
      <c r="AK40" s="578"/>
      <c r="AL40" s="578"/>
      <c r="AM40" s="578"/>
      <c r="AN40" s="578"/>
      <c r="AO40" s="578"/>
      <c r="AP40" s="578"/>
      <c r="AQ40" s="579"/>
      <c r="AR40" s="577" t="s">
        <v>422</v>
      </c>
      <c r="AS40" s="578"/>
      <c r="AT40" s="578"/>
      <c r="AU40" s="578"/>
      <c r="AV40" s="578"/>
      <c r="AW40" s="578"/>
      <c r="AX40" s="578"/>
      <c r="AY40" s="578"/>
      <c r="AZ40" s="578"/>
      <c r="BA40" s="578"/>
      <c r="BB40" s="579"/>
      <c r="BC40" s="486">
        <v>0.97</v>
      </c>
      <c r="BD40" s="306"/>
      <c r="BE40" s="487"/>
      <c r="BF40" s="587">
        <v>4.5</v>
      </c>
      <c r="BG40" s="588"/>
      <c r="BH40" s="573">
        <v>7</v>
      </c>
      <c r="BI40" s="574"/>
      <c r="BJ40" s="587">
        <v>50</v>
      </c>
      <c r="BK40" s="588"/>
      <c r="BL40" s="573">
        <v>65</v>
      </c>
      <c r="BM40" s="574"/>
      <c r="BN40" s="566" t="s">
        <v>106</v>
      </c>
      <c r="BO40" s="306"/>
      <c r="BP40" s="306"/>
      <c r="BQ40" s="487"/>
      <c r="BR40" s="566" t="s">
        <v>106</v>
      </c>
      <c r="BS40" s="306"/>
      <c r="BT40" s="306"/>
      <c r="BU40" s="487"/>
      <c r="BV40" s="580" t="s">
        <v>81</v>
      </c>
      <c r="BW40" s="581"/>
      <c r="BX40" s="580" t="s">
        <v>295</v>
      </c>
      <c r="BY40" s="581"/>
      <c r="BZ40" s="486"/>
      <c r="CA40" s="306"/>
      <c r="CB40" s="487"/>
      <c r="CC40" s="560"/>
      <c r="CD40" s="561"/>
      <c r="CE40" s="561"/>
      <c r="CF40" s="561"/>
      <c r="CG40" s="561"/>
      <c r="CH40" s="561"/>
      <c r="CI40" s="561"/>
      <c r="CJ40" s="561"/>
      <c r="CK40" s="561"/>
      <c r="CL40" s="561"/>
      <c r="CM40" s="562"/>
      <c r="CN40" s="87"/>
      <c r="CO40" s="87"/>
      <c r="CP40" s="87"/>
      <c r="CQ40" s="87"/>
      <c r="CR40" s="87"/>
      <c r="CS40" s="87"/>
      <c r="CT40" s="87"/>
      <c r="CU40" s="87"/>
      <c r="CV40" s="87"/>
      <c r="CW40" s="87"/>
    </row>
    <row r="41" spans="1:101" s="75" customFormat="1" ht="25.65" customHeight="1">
      <c r="A41" s="589">
        <f t="shared" si="1"/>
        <v>35</v>
      </c>
      <c r="B41" s="590"/>
      <c r="C41" s="617" t="s">
        <v>290</v>
      </c>
      <c r="D41" s="618"/>
      <c r="E41" s="618"/>
      <c r="F41" s="618"/>
      <c r="G41" s="618"/>
      <c r="H41" s="619"/>
      <c r="I41" s="551" t="s">
        <v>372</v>
      </c>
      <c r="J41" s="552"/>
      <c r="K41" s="552"/>
      <c r="L41" s="553"/>
      <c r="M41" s="620" t="s">
        <v>330</v>
      </c>
      <c r="N41" s="621"/>
      <c r="O41" s="621"/>
      <c r="P41" s="622"/>
      <c r="Q41" s="208" t="s">
        <v>374</v>
      </c>
      <c r="R41" s="620" t="s">
        <v>300</v>
      </c>
      <c r="S41" s="621"/>
      <c r="T41" s="621"/>
      <c r="U41" s="622"/>
      <c r="V41" s="551" t="s">
        <v>362</v>
      </c>
      <c r="W41" s="552"/>
      <c r="X41" s="553"/>
      <c r="Y41" s="171" t="s">
        <v>451</v>
      </c>
      <c r="Z41" s="623" t="s">
        <v>29</v>
      </c>
      <c r="AA41" s="624"/>
      <c r="AB41" s="625"/>
      <c r="AC41" s="209" t="s">
        <v>390</v>
      </c>
      <c r="AD41" s="209" t="s">
        <v>393</v>
      </c>
      <c r="AE41" s="209" t="s">
        <v>389</v>
      </c>
      <c r="AF41" s="171" t="s">
        <v>432</v>
      </c>
      <c r="AG41" s="577" t="s">
        <v>435</v>
      </c>
      <c r="AH41" s="578"/>
      <c r="AI41" s="578"/>
      <c r="AJ41" s="578"/>
      <c r="AK41" s="578"/>
      <c r="AL41" s="578"/>
      <c r="AM41" s="578"/>
      <c r="AN41" s="578"/>
      <c r="AO41" s="578"/>
      <c r="AP41" s="578"/>
      <c r="AQ41" s="579"/>
      <c r="AR41" s="567" t="s">
        <v>421</v>
      </c>
      <c r="AS41" s="568"/>
      <c r="AT41" s="568"/>
      <c r="AU41" s="568"/>
      <c r="AV41" s="568"/>
      <c r="AW41" s="568"/>
      <c r="AX41" s="568"/>
      <c r="AY41" s="568"/>
      <c r="AZ41" s="568"/>
      <c r="BA41" s="568"/>
      <c r="BB41" s="569"/>
      <c r="BC41" s="486">
        <v>0.97</v>
      </c>
      <c r="BD41" s="306"/>
      <c r="BE41" s="487"/>
      <c r="BF41" s="637">
        <v>4.5</v>
      </c>
      <c r="BG41" s="638"/>
      <c r="BH41" s="573">
        <v>7</v>
      </c>
      <c r="BI41" s="574"/>
      <c r="BJ41" s="587">
        <v>50</v>
      </c>
      <c r="BK41" s="588"/>
      <c r="BL41" s="573">
        <v>65</v>
      </c>
      <c r="BM41" s="574"/>
      <c r="BN41" s="591" t="s">
        <v>106</v>
      </c>
      <c r="BO41" s="488"/>
      <c r="BP41" s="488"/>
      <c r="BQ41" s="590"/>
      <c r="BR41" s="591" t="s">
        <v>106</v>
      </c>
      <c r="BS41" s="488"/>
      <c r="BT41" s="488"/>
      <c r="BU41" s="590"/>
      <c r="BV41" s="615" t="s">
        <v>81</v>
      </c>
      <c r="BW41" s="616"/>
      <c r="BX41" s="615" t="s">
        <v>295</v>
      </c>
      <c r="BY41" s="616"/>
      <c r="BZ41" s="589"/>
      <c r="CA41" s="488"/>
      <c r="CB41" s="590"/>
      <c r="CC41" s="626"/>
      <c r="CD41" s="627"/>
      <c r="CE41" s="627"/>
      <c r="CF41" s="627"/>
      <c r="CG41" s="627"/>
      <c r="CH41" s="627"/>
      <c r="CI41" s="627"/>
      <c r="CJ41" s="627"/>
      <c r="CK41" s="627"/>
      <c r="CL41" s="627"/>
      <c r="CM41" s="628"/>
      <c r="CN41" s="87"/>
      <c r="CO41" s="87"/>
      <c r="CP41" s="87"/>
      <c r="CQ41" s="87"/>
      <c r="CR41" s="87"/>
      <c r="CS41" s="87"/>
      <c r="CT41" s="87"/>
      <c r="CU41" s="87"/>
      <c r="CV41" s="87"/>
      <c r="CW41" s="87"/>
    </row>
    <row r="42" spans="1:101" s="75" customFormat="1" ht="25.65" customHeight="1">
      <c r="A42" s="486">
        <f t="shared" si="1"/>
        <v>36</v>
      </c>
      <c r="B42" s="487"/>
      <c r="C42" s="563" t="s">
        <v>290</v>
      </c>
      <c r="D42" s="564"/>
      <c r="E42" s="564"/>
      <c r="F42" s="564"/>
      <c r="G42" s="564"/>
      <c r="H42" s="565"/>
      <c r="I42" s="551" t="s">
        <v>372</v>
      </c>
      <c r="J42" s="552"/>
      <c r="K42" s="552"/>
      <c r="L42" s="553"/>
      <c r="M42" s="551" t="s">
        <v>291</v>
      </c>
      <c r="N42" s="552"/>
      <c r="O42" s="552"/>
      <c r="P42" s="553"/>
      <c r="Q42" s="208" t="s">
        <v>374</v>
      </c>
      <c r="R42" s="551" t="s">
        <v>365</v>
      </c>
      <c r="S42" s="552"/>
      <c r="T42" s="552"/>
      <c r="U42" s="553"/>
      <c r="V42" s="554" t="s">
        <v>363</v>
      </c>
      <c r="W42" s="555"/>
      <c r="X42" s="556"/>
      <c r="Y42" s="171" t="s">
        <v>449</v>
      </c>
      <c r="Z42" s="557" t="s">
        <v>29</v>
      </c>
      <c r="AA42" s="558"/>
      <c r="AB42" s="559"/>
      <c r="AC42" s="209" t="s">
        <v>387</v>
      </c>
      <c r="AD42" s="209" t="s">
        <v>455</v>
      </c>
      <c r="AE42" s="209" t="s">
        <v>388</v>
      </c>
      <c r="AF42" s="171" t="s">
        <v>433</v>
      </c>
      <c r="AG42" s="577" t="s">
        <v>422</v>
      </c>
      <c r="AH42" s="578"/>
      <c r="AI42" s="578"/>
      <c r="AJ42" s="578"/>
      <c r="AK42" s="578"/>
      <c r="AL42" s="578"/>
      <c r="AM42" s="578"/>
      <c r="AN42" s="578"/>
      <c r="AO42" s="578"/>
      <c r="AP42" s="578"/>
      <c r="AQ42" s="579"/>
      <c r="AR42" s="577" t="s">
        <v>430</v>
      </c>
      <c r="AS42" s="578"/>
      <c r="AT42" s="578"/>
      <c r="AU42" s="578"/>
      <c r="AV42" s="578"/>
      <c r="AW42" s="578"/>
      <c r="AX42" s="578"/>
      <c r="AY42" s="578"/>
      <c r="AZ42" s="578"/>
      <c r="BA42" s="578"/>
      <c r="BB42" s="579"/>
      <c r="BC42" s="570">
        <v>7.0000000000000001E-3</v>
      </c>
      <c r="BD42" s="571"/>
      <c r="BE42" s="572"/>
      <c r="BF42" s="573">
        <v>14</v>
      </c>
      <c r="BG42" s="574"/>
      <c r="BH42" s="575">
        <v>25</v>
      </c>
      <c r="BI42" s="576"/>
      <c r="BJ42" s="573">
        <v>40</v>
      </c>
      <c r="BK42" s="574"/>
      <c r="BL42" s="575">
        <v>65</v>
      </c>
      <c r="BM42" s="576"/>
      <c r="BN42" s="566" t="s">
        <v>106</v>
      </c>
      <c r="BO42" s="306"/>
      <c r="BP42" s="306"/>
      <c r="BQ42" s="487"/>
      <c r="BR42" s="566" t="s">
        <v>106</v>
      </c>
      <c r="BS42" s="306"/>
      <c r="BT42" s="306"/>
      <c r="BU42" s="487"/>
      <c r="BV42" s="580" t="s">
        <v>81</v>
      </c>
      <c r="BW42" s="581"/>
      <c r="BX42" s="580" t="s">
        <v>295</v>
      </c>
      <c r="BY42" s="581"/>
      <c r="BZ42" s="486"/>
      <c r="CA42" s="306"/>
      <c r="CB42" s="487"/>
      <c r="CC42" s="560"/>
      <c r="CD42" s="561"/>
      <c r="CE42" s="561"/>
      <c r="CF42" s="561"/>
      <c r="CG42" s="561"/>
      <c r="CH42" s="561"/>
      <c r="CI42" s="561"/>
      <c r="CJ42" s="561"/>
      <c r="CK42" s="561"/>
      <c r="CL42" s="561"/>
      <c r="CM42" s="562"/>
      <c r="CN42" s="87"/>
      <c r="CO42" s="87"/>
      <c r="CP42" s="87"/>
      <c r="CQ42" s="87"/>
      <c r="CR42" s="87"/>
      <c r="CS42" s="87"/>
      <c r="CT42" s="87"/>
      <c r="CU42" s="87"/>
      <c r="CV42" s="87"/>
      <c r="CW42" s="87"/>
    </row>
    <row r="43" spans="1:101" s="75" customFormat="1" ht="25.65" customHeight="1">
      <c r="A43" s="614">
        <f t="shared" si="1"/>
        <v>37</v>
      </c>
      <c r="B43" s="611"/>
      <c r="C43" s="641" t="s">
        <v>290</v>
      </c>
      <c r="D43" s="642"/>
      <c r="E43" s="642"/>
      <c r="F43" s="642"/>
      <c r="G43" s="642"/>
      <c r="H43" s="643"/>
      <c r="I43" s="551" t="s">
        <v>372</v>
      </c>
      <c r="J43" s="552"/>
      <c r="K43" s="552"/>
      <c r="L43" s="553"/>
      <c r="M43" s="554" t="s">
        <v>291</v>
      </c>
      <c r="N43" s="555"/>
      <c r="O43" s="555"/>
      <c r="P43" s="556"/>
      <c r="Q43" s="208" t="s">
        <v>374</v>
      </c>
      <c r="R43" s="554" t="s">
        <v>310</v>
      </c>
      <c r="S43" s="555"/>
      <c r="T43" s="555"/>
      <c r="U43" s="556"/>
      <c r="V43" s="554" t="s">
        <v>363</v>
      </c>
      <c r="W43" s="555"/>
      <c r="X43" s="556"/>
      <c r="Y43" s="171" t="s">
        <v>449</v>
      </c>
      <c r="Z43" s="639" t="s">
        <v>29</v>
      </c>
      <c r="AA43" s="640"/>
      <c r="AB43" s="633"/>
      <c r="AC43" s="209" t="s">
        <v>387</v>
      </c>
      <c r="AD43" s="209" t="s">
        <v>455</v>
      </c>
      <c r="AE43" s="209" t="s">
        <v>388</v>
      </c>
      <c r="AF43" s="171" t="s">
        <v>434</v>
      </c>
      <c r="AG43" s="634" t="s">
        <v>316</v>
      </c>
      <c r="AH43" s="635"/>
      <c r="AI43" s="635"/>
      <c r="AJ43" s="635"/>
      <c r="AK43" s="635"/>
      <c r="AL43" s="635"/>
      <c r="AM43" s="635"/>
      <c r="AN43" s="635"/>
      <c r="AO43" s="635"/>
      <c r="AP43" s="635"/>
      <c r="AQ43" s="636"/>
      <c r="AR43" s="577" t="s">
        <v>430</v>
      </c>
      <c r="AS43" s="578"/>
      <c r="AT43" s="578"/>
      <c r="AU43" s="578"/>
      <c r="AV43" s="578"/>
      <c r="AW43" s="578"/>
      <c r="AX43" s="578"/>
      <c r="AY43" s="578"/>
      <c r="AZ43" s="578"/>
      <c r="BA43" s="578"/>
      <c r="BB43" s="579"/>
      <c r="BC43" s="570">
        <v>7.0000000000000001E-3</v>
      </c>
      <c r="BD43" s="571"/>
      <c r="BE43" s="572"/>
      <c r="BF43" s="573">
        <v>14</v>
      </c>
      <c r="BG43" s="574"/>
      <c r="BH43" s="575">
        <v>25</v>
      </c>
      <c r="BI43" s="576"/>
      <c r="BJ43" s="573">
        <v>40</v>
      </c>
      <c r="BK43" s="574"/>
      <c r="BL43" s="575">
        <v>65</v>
      </c>
      <c r="BM43" s="576"/>
      <c r="BN43" s="609" t="s">
        <v>106</v>
      </c>
      <c r="BO43" s="610"/>
      <c r="BP43" s="610"/>
      <c r="BQ43" s="611"/>
      <c r="BR43" s="609" t="s">
        <v>106</v>
      </c>
      <c r="BS43" s="610"/>
      <c r="BT43" s="610"/>
      <c r="BU43" s="611"/>
      <c r="BV43" s="612" t="s">
        <v>81</v>
      </c>
      <c r="BW43" s="613"/>
      <c r="BX43" s="612" t="s">
        <v>295</v>
      </c>
      <c r="BY43" s="613"/>
      <c r="BZ43" s="614"/>
      <c r="CA43" s="610"/>
      <c r="CB43" s="611"/>
      <c r="CC43" s="606"/>
      <c r="CD43" s="607"/>
      <c r="CE43" s="607"/>
      <c r="CF43" s="607"/>
      <c r="CG43" s="607"/>
      <c r="CH43" s="607"/>
      <c r="CI43" s="607"/>
      <c r="CJ43" s="607"/>
      <c r="CK43" s="607"/>
      <c r="CL43" s="607"/>
      <c r="CM43" s="608"/>
      <c r="CN43" s="87"/>
      <c r="CO43" s="87"/>
      <c r="CP43" s="87"/>
      <c r="CQ43" s="87"/>
      <c r="CR43" s="87"/>
      <c r="CS43" s="87"/>
      <c r="CT43" s="87"/>
      <c r="CU43" s="87"/>
      <c r="CV43" s="87"/>
      <c r="CW43" s="87"/>
    </row>
    <row r="44" spans="1:101" s="75" customFormat="1" ht="25.65" customHeight="1">
      <c r="A44" s="486">
        <f t="shared" si="1"/>
        <v>38</v>
      </c>
      <c r="B44" s="487"/>
      <c r="C44" s="563" t="s">
        <v>290</v>
      </c>
      <c r="D44" s="564"/>
      <c r="E44" s="564"/>
      <c r="F44" s="564"/>
      <c r="G44" s="564"/>
      <c r="H44" s="565"/>
      <c r="I44" s="551" t="s">
        <v>372</v>
      </c>
      <c r="J44" s="552"/>
      <c r="K44" s="552"/>
      <c r="L44" s="553"/>
      <c r="M44" s="551" t="s">
        <v>330</v>
      </c>
      <c r="N44" s="552"/>
      <c r="O44" s="552"/>
      <c r="P44" s="553"/>
      <c r="Q44" s="208" t="s">
        <v>374</v>
      </c>
      <c r="R44" s="551" t="s">
        <v>329</v>
      </c>
      <c r="S44" s="552"/>
      <c r="T44" s="552"/>
      <c r="U44" s="553"/>
      <c r="V44" s="551" t="s">
        <v>362</v>
      </c>
      <c r="W44" s="552"/>
      <c r="X44" s="553"/>
      <c r="Y44" s="171" t="s">
        <v>451</v>
      </c>
      <c r="Z44" s="557" t="s">
        <v>29</v>
      </c>
      <c r="AA44" s="558"/>
      <c r="AB44" s="559"/>
      <c r="AC44" s="209" t="s">
        <v>390</v>
      </c>
      <c r="AD44" s="209" t="s">
        <v>393</v>
      </c>
      <c r="AE44" s="209" t="s">
        <v>389</v>
      </c>
      <c r="AF44" s="171" t="s">
        <v>435</v>
      </c>
      <c r="AG44" s="577" t="s">
        <v>318</v>
      </c>
      <c r="AH44" s="578"/>
      <c r="AI44" s="578"/>
      <c r="AJ44" s="578"/>
      <c r="AK44" s="578"/>
      <c r="AL44" s="578"/>
      <c r="AM44" s="578"/>
      <c r="AN44" s="578"/>
      <c r="AO44" s="578"/>
      <c r="AP44" s="578"/>
      <c r="AQ44" s="579"/>
      <c r="AR44" s="577" t="s">
        <v>338</v>
      </c>
      <c r="AS44" s="578"/>
      <c r="AT44" s="578"/>
      <c r="AU44" s="578"/>
      <c r="AV44" s="578"/>
      <c r="AW44" s="578"/>
      <c r="AX44" s="578"/>
      <c r="AY44" s="578"/>
      <c r="AZ44" s="578"/>
      <c r="BA44" s="578"/>
      <c r="BB44" s="579"/>
      <c r="BC44" s="486">
        <v>0.97</v>
      </c>
      <c r="BD44" s="306"/>
      <c r="BE44" s="487"/>
      <c r="BF44" s="587">
        <v>4.5</v>
      </c>
      <c r="BG44" s="588"/>
      <c r="BH44" s="573">
        <v>7</v>
      </c>
      <c r="BI44" s="574"/>
      <c r="BJ44" s="587">
        <v>50</v>
      </c>
      <c r="BK44" s="588"/>
      <c r="BL44" s="573">
        <v>65</v>
      </c>
      <c r="BM44" s="574"/>
      <c r="BN44" s="566" t="s">
        <v>106</v>
      </c>
      <c r="BO44" s="306"/>
      <c r="BP44" s="306"/>
      <c r="BQ44" s="487"/>
      <c r="BR44" s="566" t="s">
        <v>106</v>
      </c>
      <c r="BS44" s="306"/>
      <c r="BT44" s="306"/>
      <c r="BU44" s="487"/>
      <c r="BV44" s="580" t="s">
        <v>81</v>
      </c>
      <c r="BW44" s="581"/>
      <c r="BX44" s="580" t="s">
        <v>295</v>
      </c>
      <c r="BY44" s="581"/>
      <c r="BZ44" s="486"/>
      <c r="CA44" s="306"/>
      <c r="CB44" s="487"/>
      <c r="CC44" s="560"/>
      <c r="CD44" s="561"/>
      <c r="CE44" s="561"/>
      <c r="CF44" s="561"/>
      <c r="CG44" s="561"/>
      <c r="CH44" s="561"/>
      <c r="CI44" s="561"/>
      <c r="CJ44" s="561"/>
      <c r="CK44" s="561"/>
      <c r="CL44" s="561"/>
      <c r="CM44" s="562"/>
      <c r="CN44" s="87"/>
      <c r="CO44" s="87"/>
      <c r="CP44" s="87"/>
      <c r="CQ44" s="87"/>
      <c r="CR44" s="87"/>
      <c r="CS44" s="87"/>
      <c r="CT44" s="87"/>
      <c r="CU44" s="87"/>
      <c r="CV44" s="87"/>
      <c r="CW44" s="87"/>
    </row>
    <row r="45" spans="1:101" s="75" customFormat="1" ht="25.65" customHeight="1">
      <c r="A45" s="486">
        <f t="shared" si="1"/>
        <v>39</v>
      </c>
      <c r="B45" s="487"/>
      <c r="C45" s="563" t="s">
        <v>290</v>
      </c>
      <c r="D45" s="564"/>
      <c r="E45" s="564"/>
      <c r="F45" s="564"/>
      <c r="G45" s="564"/>
      <c r="H45" s="565"/>
      <c r="I45" s="551" t="s">
        <v>369</v>
      </c>
      <c r="J45" s="552"/>
      <c r="K45" s="552"/>
      <c r="L45" s="553"/>
      <c r="M45" s="551" t="s">
        <v>330</v>
      </c>
      <c r="N45" s="552"/>
      <c r="O45" s="552"/>
      <c r="P45" s="553"/>
      <c r="Q45" s="208" t="s">
        <v>374</v>
      </c>
      <c r="R45" s="551" t="s">
        <v>298</v>
      </c>
      <c r="S45" s="552"/>
      <c r="T45" s="552"/>
      <c r="U45" s="553"/>
      <c r="V45" s="551" t="s">
        <v>362</v>
      </c>
      <c r="W45" s="552"/>
      <c r="X45" s="553"/>
      <c r="Y45" s="171" t="s">
        <v>452</v>
      </c>
      <c r="Z45" s="557" t="s">
        <v>29</v>
      </c>
      <c r="AA45" s="558"/>
      <c r="AB45" s="559"/>
      <c r="AC45" s="209" t="s">
        <v>390</v>
      </c>
      <c r="AD45" s="209" t="s">
        <v>393</v>
      </c>
      <c r="AE45" s="209" t="s">
        <v>389</v>
      </c>
      <c r="AF45" s="171" t="s">
        <v>436</v>
      </c>
      <c r="AG45" s="577" t="s">
        <v>423</v>
      </c>
      <c r="AH45" s="578"/>
      <c r="AI45" s="578"/>
      <c r="AJ45" s="578"/>
      <c r="AK45" s="578"/>
      <c r="AL45" s="578"/>
      <c r="AM45" s="578"/>
      <c r="AN45" s="578"/>
      <c r="AO45" s="578"/>
      <c r="AP45" s="578"/>
      <c r="AQ45" s="579"/>
      <c r="AR45" s="577" t="s">
        <v>301</v>
      </c>
      <c r="AS45" s="578"/>
      <c r="AT45" s="578"/>
      <c r="AU45" s="578"/>
      <c r="AV45" s="578"/>
      <c r="AW45" s="578"/>
      <c r="AX45" s="578"/>
      <c r="AY45" s="578"/>
      <c r="AZ45" s="578"/>
      <c r="BA45" s="578"/>
      <c r="BB45" s="579"/>
      <c r="BC45" s="486">
        <v>0.97</v>
      </c>
      <c r="BD45" s="306"/>
      <c r="BE45" s="487"/>
      <c r="BF45" s="587">
        <v>4.5</v>
      </c>
      <c r="BG45" s="588"/>
      <c r="BH45" s="573">
        <v>7</v>
      </c>
      <c r="BI45" s="574"/>
      <c r="BJ45" s="587">
        <v>50</v>
      </c>
      <c r="BK45" s="588"/>
      <c r="BL45" s="573">
        <v>65</v>
      </c>
      <c r="BM45" s="574"/>
      <c r="BN45" s="566" t="s">
        <v>106</v>
      </c>
      <c r="BO45" s="306"/>
      <c r="BP45" s="306"/>
      <c r="BQ45" s="487"/>
      <c r="BR45" s="566" t="s">
        <v>106</v>
      </c>
      <c r="BS45" s="306"/>
      <c r="BT45" s="306"/>
      <c r="BU45" s="487"/>
      <c r="BV45" s="580" t="s">
        <v>81</v>
      </c>
      <c r="BW45" s="581"/>
      <c r="BX45" s="580" t="s">
        <v>295</v>
      </c>
      <c r="BY45" s="581"/>
      <c r="BZ45" s="486"/>
      <c r="CA45" s="306"/>
      <c r="CB45" s="487"/>
      <c r="CC45" s="560"/>
      <c r="CD45" s="561"/>
      <c r="CE45" s="561"/>
      <c r="CF45" s="561"/>
      <c r="CG45" s="561"/>
      <c r="CH45" s="561"/>
      <c r="CI45" s="561"/>
      <c r="CJ45" s="561"/>
      <c r="CK45" s="561"/>
      <c r="CL45" s="561"/>
      <c r="CM45" s="562"/>
      <c r="CN45" s="87"/>
      <c r="CO45" s="87"/>
      <c r="CP45" s="87"/>
      <c r="CQ45" s="87"/>
      <c r="CR45" s="87"/>
      <c r="CS45" s="87"/>
      <c r="CT45" s="87"/>
      <c r="CU45" s="87"/>
      <c r="CV45" s="87"/>
      <c r="CW45" s="87"/>
    </row>
    <row r="46" spans="1:101" s="75" customFormat="1" ht="25.65" customHeight="1">
      <c r="A46" s="486">
        <f t="shared" si="1"/>
        <v>40</v>
      </c>
      <c r="B46" s="487"/>
      <c r="C46" s="563" t="s">
        <v>290</v>
      </c>
      <c r="D46" s="564"/>
      <c r="E46" s="564"/>
      <c r="F46" s="564"/>
      <c r="G46" s="564"/>
      <c r="H46" s="565"/>
      <c r="I46" s="551" t="s">
        <v>371</v>
      </c>
      <c r="J46" s="552"/>
      <c r="K46" s="552"/>
      <c r="L46" s="553"/>
      <c r="M46" s="551" t="s">
        <v>330</v>
      </c>
      <c r="N46" s="552"/>
      <c r="O46" s="552"/>
      <c r="P46" s="553"/>
      <c r="Q46" s="208" t="s">
        <v>374</v>
      </c>
      <c r="R46" s="551" t="s">
        <v>296</v>
      </c>
      <c r="S46" s="552"/>
      <c r="T46" s="552"/>
      <c r="U46" s="553"/>
      <c r="V46" s="551" t="s">
        <v>362</v>
      </c>
      <c r="W46" s="552"/>
      <c r="X46" s="553"/>
      <c r="Y46" s="171" t="s">
        <v>451</v>
      </c>
      <c r="Z46" s="557" t="s">
        <v>29</v>
      </c>
      <c r="AA46" s="558"/>
      <c r="AB46" s="559"/>
      <c r="AC46" s="209" t="s">
        <v>390</v>
      </c>
      <c r="AD46" s="209" t="s">
        <v>393</v>
      </c>
      <c r="AE46" s="209" t="s">
        <v>389</v>
      </c>
      <c r="AF46" s="171" t="s">
        <v>437</v>
      </c>
      <c r="AG46" s="577" t="s">
        <v>423</v>
      </c>
      <c r="AH46" s="578"/>
      <c r="AI46" s="578"/>
      <c r="AJ46" s="578"/>
      <c r="AK46" s="578"/>
      <c r="AL46" s="578"/>
      <c r="AM46" s="578"/>
      <c r="AN46" s="578"/>
      <c r="AO46" s="578"/>
      <c r="AP46" s="578"/>
      <c r="AQ46" s="579"/>
      <c r="AR46" s="577" t="s">
        <v>406</v>
      </c>
      <c r="AS46" s="578"/>
      <c r="AT46" s="578"/>
      <c r="AU46" s="578"/>
      <c r="AV46" s="578"/>
      <c r="AW46" s="578"/>
      <c r="AX46" s="578"/>
      <c r="AY46" s="578"/>
      <c r="AZ46" s="578"/>
      <c r="BA46" s="578"/>
      <c r="BB46" s="579"/>
      <c r="BC46" s="486">
        <v>0.97</v>
      </c>
      <c r="BD46" s="306"/>
      <c r="BE46" s="487"/>
      <c r="BF46" s="587">
        <v>4.5</v>
      </c>
      <c r="BG46" s="588"/>
      <c r="BH46" s="573">
        <v>7</v>
      </c>
      <c r="BI46" s="574"/>
      <c r="BJ46" s="587">
        <v>50</v>
      </c>
      <c r="BK46" s="588"/>
      <c r="BL46" s="573">
        <v>65</v>
      </c>
      <c r="BM46" s="574"/>
      <c r="BN46" s="566" t="s">
        <v>106</v>
      </c>
      <c r="BO46" s="306"/>
      <c r="BP46" s="306"/>
      <c r="BQ46" s="487"/>
      <c r="BR46" s="566" t="s">
        <v>106</v>
      </c>
      <c r="BS46" s="306"/>
      <c r="BT46" s="306"/>
      <c r="BU46" s="487"/>
      <c r="BV46" s="580" t="s">
        <v>81</v>
      </c>
      <c r="BW46" s="581"/>
      <c r="BX46" s="580" t="s">
        <v>295</v>
      </c>
      <c r="BY46" s="581"/>
      <c r="BZ46" s="486"/>
      <c r="CA46" s="306"/>
      <c r="CB46" s="487"/>
      <c r="CC46" s="560"/>
      <c r="CD46" s="561"/>
      <c r="CE46" s="561"/>
      <c r="CF46" s="561"/>
      <c r="CG46" s="561"/>
      <c r="CH46" s="561"/>
      <c r="CI46" s="561"/>
      <c r="CJ46" s="561"/>
      <c r="CK46" s="561"/>
      <c r="CL46" s="561"/>
      <c r="CM46" s="562"/>
      <c r="CN46" s="87"/>
      <c r="CO46" s="87"/>
      <c r="CP46" s="87"/>
      <c r="CQ46" s="87"/>
      <c r="CR46" s="87"/>
      <c r="CS46" s="87"/>
      <c r="CT46" s="87"/>
      <c r="CU46" s="87"/>
      <c r="CV46" s="87"/>
      <c r="CW46" s="87"/>
    </row>
    <row r="47" spans="1:101" s="75" customFormat="1" ht="25.65" customHeight="1">
      <c r="A47" s="486">
        <f t="shared" si="1"/>
        <v>41</v>
      </c>
      <c r="B47" s="487"/>
      <c r="C47" s="563" t="s">
        <v>290</v>
      </c>
      <c r="D47" s="564"/>
      <c r="E47" s="564"/>
      <c r="F47" s="564"/>
      <c r="G47" s="564"/>
      <c r="H47" s="565"/>
      <c r="I47" s="551" t="s">
        <v>371</v>
      </c>
      <c r="J47" s="552"/>
      <c r="K47" s="552"/>
      <c r="L47" s="553"/>
      <c r="M47" s="551" t="s">
        <v>291</v>
      </c>
      <c r="N47" s="552"/>
      <c r="O47" s="552"/>
      <c r="P47" s="553"/>
      <c r="Q47" s="208" t="s">
        <v>374</v>
      </c>
      <c r="R47" s="551" t="s">
        <v>296</v>
      </c>
      <c r="S47" s="552"/>
      <c r="T47" s="552"/>
      <c r="U47" s="553"/>
      <c r="V47" s="554" t="s">
        <v>363</v>
      </c>
      <c r="W47" s="555"/>
      <c r="X47" s="556"/>
      <c r="Y47" s="171" t="s">
        <v>449</v>
      </c>
      <c r="Z47" s="557" t="s">
        <v>29</v>
      </c>
      <c r="AA47" s="558"/>
      <c r="AB47" s="559"/>
      <c r="AC47" s="209" t="s">
        <v>387</v>
      </c>
      <c r="AD47" s="209" t="s">
        <v>455</v>
      </c>
      <c r="AE47" s="209" t="s">
        <v>388</v>
      </c>
      <c r="AF47" s="171" t="s">
        <v>438</v>
      </c>
      <c r="AG47" s="577" t="s">
        <v>430</v>
      </c>
      <c r="AH47" s="578"/>
      <c r="AI47" s="578"/>
      <c r="AJ47" s="578"/>
      <c r="AK47" s="578"/>
      <c r="AL47" s="578"/>
      <c r="AM47" s="578"/>
      <c r="AN47" s="578"/>
      <c r="AO47" s="578"/>
      <c r="AP47" s="578"/>
      <c r="AQ47" s="579"/>
      <c r="AR47" s="577" t="s">
        <v>406</v>
      </c>
      <c r="AS47" s="578"/>
      <c r="AT47" s="578"/>
      <c r="AU47" s="578"/>
      <c r="AV47" s="578"/>
      <c r="AW47" s="578"/>
      <c r="AX47" s="578"/>
      <c r="AY47" s="578"/>
      <c r="AZ47" s="578"/>
      <c r="BA47" s="578"/>
      <c r="BB47" s="579"/>
      <c r="BC47" s="570">
        <v>7.0000000000000001E-3</v>
      </c>
      <c r="BD47" s="571"/>
      <c r="BE47" s="572"/>
      <c r="BF47" s="573">
        <v>14</v>
      </c>
      <c r="BG47" s="574"/>
      <c r="BH47" s="575">
        <v>25</v>
      </c>
      <c r="BI47" s="576"/>
      <c r="BJ47" s="573">
        <v>40</v>
      </c>
      <c r="BK47" s="574"/>
      <c r="BL47" s="575">
        <v>65</v>
      </c>
      <c r="BM47" s="576"/>
      <c r="BN47" s="566" t="s">
        <v>106</v>
      </c>
      <c r="BO47" s="306"/>
      <c r="BP47" s="306"/>
      <c r="BQ47" s="487"/>
      <c r="BR47" s="566" t="s">
        <v>106</v>
      </c>
      <c r="BS47" s="306"/>
      <c r="BT47" s="306"/>
      <c r="BU47" s="487"/>
      <c r="BV47" s="580" t="s">
        <v>81</v>
      </c>
      <c r="BW47" s="581"/>
      <c r="BX47" s="580" t="s">
        <v>295</v>
      </c>
      <c r="BY47" s="581"/>
      <c r="BZ47" s="486"/>
      <c r="CA47" s="306"/>
      <c r="CB47" s="487"/>
      <c r="CC47" s="560"/>
      <c r="CD47" s="561"/>
      <c r="CE47" s="561"/>
      <c r="CF47" s="561"/>
      <c r="CG47" s="561"/>
      <c r="CH47" s="561"/>
      <c r="CI47" s="561"/>
      <c r="CJ47" s="561"/>
      <c r="CK47" s="561"/>
      <c r="CL47" s="561"/>
      <c r="CM47" s="562"/>
      <c r="CN47" s="87"/>
      <c r="CO47" s="87"/>
      <c r="CP47" s="87"/>
      <c r="CQ47" s="87"/>
      <c r="CR47" s="87"/>
      <c r="CS47" s="87"/>
      <c r="CT47" s="87"/>
      <c r="CU47" s="87"/>
      <c r="CV47" s="87"/>
      <c r="CW47" s="87"/>
    </row>
    <row r="48" spans="1:101" s="75" customFormat="1" ht="25.65" customHeight="1">
      <c r="A48" s="486">
        <f t="shared" si="1"/>
        <v>42</v>
      </c>
      <c r="B48" s="487"/>
      <c r="C48" s="563" t="s">
        <v>290</v>
      </c>
      <c r="D48" s="564"/>
      <c r="E48" s="564"/>
      <c r="F48" s="564"/>
      <c r="G48" s="564"/>
      <c r="H48" s="565"/>
      <c r="I48" s="551" t="s">
        <v>371</v>
      </c>
      <c r="J48" s="552"/>
      <c r="K48" s="552"/>
      <c r="L48" s="553"/>
      <c r="M48" s="551" t="s">
        <v>291</v>
      </c>
      <c r="N48" s="552"/>
      <c r="O48" s="552"/>
      <c r="P48" s="553"/>
      <c r="Q48" s="208" t="s">
        <v>374</v>
      </c>
      <c r="R48" s="551" t="s">
        <v>298</v>
      </c>
      <c r="S48" s="552"/>
      <c r="T48" s="552"/>
      <c r="U48" s="553"/>
      <c r="V48" s="554" t="s">
        <v>363</v>
      </c>
      <c r="W48" s="555"/>
      <c r="X48" s="556"/>
      <c r="Y48" s="171" t="s">
        <v>449</v>
      </c>
      <c r="Z48" s="557" t="s">
        <v>29</v>
      </c>
      <c r="AA48" s="558"/>
      <c r="AB48" s="559"/>
      <c r="AC48" s="209" t="s">
        <v>387</v>
      </c>
      <c r="AD48" s="209" t="s">
        <v>455</v>
      </c>
      <c r="AE48" s="209" t="s">
        <v>388</v>
      </c>
      <c r="AF48" s="171" t="s">
        <v>439</v>
      </c>
      <c r="AG48" s="577" t="s">
        <v>430</v>
      </c>
      <c r="AH48" s="578"/>
      <c r="AI48" s="578"/>
      <c r="AJ48" s="578"/>
      <c r="AK48" s="578"/>
      <c r="AL48" s="578"/>
      <c r="AM48" s="578"/>
      <c r="AN48" s="578"/>
      <c r="AO48" s="578"/>
      <c r="AP48" s="578"/>
      <c r="AQ48" s="579"/>
      <c r="AR48" s="577" t="s">
        <v>301</v>
      </c>
      <c r="AS48" s="578"/>
      <c r="AT48" s="578"/>
      <c r="AU48" s="578"/>
      <c r="AV48" s="578"/>
      <c r="AW48" s="578"/>
      <c r="AX48" s="578"/>
      <c r="AY48" s="578"/>
      <c r="AZ48" s="578"/>
      <c r="BA48" s="578"/>
      <c r="BB48" s="579"/>
      <c r="BC48" s="570">
        <v>7.0000000000000001E-3</v>
      </c>
      <c r="BD48" s="571"/>
      <c r="BE48" s="572"/>
      <c r="BF48" s="573">
        <v>14</v>
      </c>
      <c r="BG48" s="574"/>
      <c r="BH48" s="575">
        <v>25</v>
      </c>
      <c r="BI48" s="576"/>
      <c r="BJ48" s="573">
        <v>40</v>
      </c>
      <c r="BK48" s="574"/>
      <c r="BL48" s="575">
        <v>65</v>
      </c>
      <c r="BM48" s="576"/>
      <c r="BN48" s="566" t="s">
        <v>106</v>
      </c>
      <c r="BO48" s="306"/>
      <c r="BP48" s="306"/>
      <c r="BQ48" s="487"/>
      <c r="BR48" s="566" t="s">
        <v>106</v>
      </c>
      <c r="BS48" s="306"/>
      <c r="BT48" s="306"/>
      <c r="BU48" s="487"/>
      <c r="BV48" s="580" t="s">
        <v>81</v>
      </c>
      <c r="BW48" s="581"/>
      <c r="BX48" s="580" t="s">
        <v>295</v>
      </c>
      <c r="BY48" s="581"/>
      <c r="BZ48" s="486"/>
      <c r="CA48" s="306"/>
      <c r="CB48" s="487"/>
      <c r="CC48" s="560"/>
      <c r="CD48" s="561"/>
      <c r="CE48" s="561"/>
      <c r="CF48" s="561"/>
      <c r="CG48" s="561"/>
      <c r="CH48" s="561"/>
      <c r="CI48" s="561"/>
      <c r="CJ48" s="561"/>
      <c r="CK48" s="561"/>
      <c r="CL48" s="561"/>
      <c r="CM48" s="562"/>
      <c r="CN48" s="87"/>
      <c r="CO48" s="87"/>
      <c r="CP48" s="87"/>
      <c r="CQ48" s="87"/>
      <c r="CR48" s="87"/>
      <c r="CS48" s="87"/>
      <c r="CT48" s="87"/>
      <c r="CU48" s="87"/>
      <c r="CV48" s="87"/>
      <c r="CW48" s="87"/>
    </row>
    <row r="49" spans="1:108" s="75" customFormat="1" ht="25.65" customHeight="1">
      <c r="A49" s="486">
        <f t="shared" si="1"/>
        <v>43</v>
      </c>
      <c r="B49" s="487"/>
      <c r="C49" s="563" t="s">
        <v>339</v>
      </c>
      <c r="D49" s="564"/>
      <c r="E49" s="564"/>
      <c r="F49" s="564"/>
      <c r="G49" s="564"/>
      <c r="H49" s="565"/>
      <c r="I49" s="554" t="s">
        <v>368</v>
      </c>
      <c r="J49" s="555"/>
      <c r="K49" s="555"/>
      <c r="L49" s="556"/>
      <c r="M49" s="551" t="s">
        <v>340</v>
      </c>
      <c r="N49" s="552"/>
      <c r="O49" s="552"/>
      <c r="P49" s="553"/>
      <c r="Q49" s="210" t="s">
        <v>375</v>
      </c>
      <c r="R49" s="551" t="s">
        <v>292</v>
      </c>
      <c r="S49" s="552"/>
      <c r="T49" s="552"/>
      <c r="U49" s="553"/>
      <c r="V49" s="551" t="s">
        <v>252</v>
      </c>
      <c r="W49" s="552"/>
      <c r="X49" s="553"/>
      <c r="Y49" s="171" t="s">
        <v>453</v>
      </c>
      <c r="Z49" s="557" t="s">
        <v>29</v>
      </c>
      <c r="AA49" s="558"/>
      <c r="AB49" s="558"/>
      <c r="AC49" s="209" t="s">
        <v>390</v>
      </c>
      <c r="AD49" s="209" t="s">
        <v>391</v>
      </c>
      <c r="AE49" s="209" t="s">
        <v>135</v>
      </c>
      <c r="AF49" s="171" t="s">
        <v>440</v>
      </c>
      <c r="AG49" s="577" t="s">
        <v>337</v>
      </c>
      <c r="AH49" s="578"/>
      <c r="AI49" s="578"/>
      <c r="AJ49" s="578"/>
      <c r="AK49" s="578"/>
      <c r="AL49" s="578"/>
      <c r="AM49" s="578"/>
      <c r="AN49" s="578"/>
      <c r="AO49" s="578"/>
      <c r="AP49" s="578"/>
      <c r="AQ49" s="579"/>
      <c r="AR49" s="577" t="s">
        <v>341</v>
      </c>
      <c r="AS49" s="578"/>
      <c r="AT49" s="578"/>
      <c r="AU49" s="578"/>
      <c r="AV49" s="578"/>
      <c r="AW49" s="578"/>
      <c r="AX49" s="578"/>
      <c r="AY49" s="578"/>
      <c r="AZ49" s="578"/>
      <c r="BA49" s="578"/>
      <c r="BB49" s="579"/>
      <c r="BC49" s="584">
        <v>1</v>
      </c>
      <c r="BD49" s="585"/>
      <c r="BE49" s="586"/>
      <c r="BF49" s="587">
        <v>0.74</v>
      </c>
      <c r="BG49" s="588"/>
      <c r="BH49" s="573">
        <v>5</v>
      </c>
      <c r="BI49" s="574"/>
      <c r="BJ49" s="587">
        <v>45</v>
      </c>
      <c r="BK49" s="588"/>
      <c r="BL49" s="573">
        <v>65</v>
      </c>
      <c r="BM49" s="574"/>
      <c r="BN49" s="566" t="s">
        <v>106</v>
      </c>
      <c r="BO49" s="306"/>
      <c r="BP49" s="306"/>
      <c r="BQ49" s="487"/>
      <c r="BR49" s="566" t="s">
        <v>106</v>
      </c>
      <c r="BS49" s="306"/>
      <c r="BT49" s="306"/>
      <c r="BU49" s="487"/>
      <c r="BV49" s="580" t="s">
        <v>81</v>
      </c>
      <c r="BW49" s="581"/>
      <c r="BX49" s="580" t="s">
        <v>295</v>
      </c>
      <c r="BY49" s="581"/>
      <c r="BZ49" s="486"/>
      <c r="CA49" s="306"/>
      <c r="CB49" s="487"/>
      <c r="CC49" s="560"/>
      <c r="CD49" s="561"/>
      <c r="CE49" s="561"/>
      <c r="CF49" s="561"/>
      <c r="CG49" s="561"/>
      <c r="CH49" s="561"/>
      <c r="CI49" s="561"/>
      <c r="CJ49" s="561"/>
      <c r="CK49" s="561"/>
      <c r="CL49" s="561"/>
      <c r="CM49" s="562"/>
      <c r="CN49" s="87"/>
      <c r="CO49" s="87"/>
      <c r="CP49" s="87"/>
      <c r="CQ49" s="87"/>
      <c r="CR49" s="87"/>
      <c r="CS49" s="87"/>
      <c r="CT49" s="87"/>
      <c r="CU49" s="87"/>
      <c r="CV49" s="87"/>
      <c r="CW49" s="87"/>
    </row>
    <row r="50" spans="1:108" s="75" customFormat="1" ht="25.65" customHeight="1">
      <c r="A50" s="486">
        <f t="shared" si="1"/>
        <v>44</v>
      </c>
      <c r="B50" s="487"/>
      <c r="C50" s="563" t="s">
        <v>339</v>
      </c>
      <c r="D50" s="564"/>
      <c r="E50" s="564"/>
      <c r="F50" s="564"/>
      <c r="G50" s="564"/>
      <c r="H50" s="565"/>
      <c r="I50" s="551" t="s">
        <v>370</v>
      </c>
      <c r="J50" s="552"/>
      <c r="K50" s="552"/>
      <c r="L50" s="553"/>
      <c r="M50" s="551" t="s">
        <v>340</v>
      </c>
      <c r="N50" s="552"/>
      <c r="O50" s="552"/>
      <c r="P50" s="553"/>
      <c r="Q50" s="210" t="s">
        <v>375</v>
      </c>
      <c r="R50" s="551" t="s">
        <v>296</v>
      </c>
      <c r="S50" s="552"/>
      <c r="T50" s="552"/>
      <c r="U50" s="553"/>
      <c r="V50" s="551" t="s">
        <v>252</v>
      </c>
      <c r="W50" s="552"/>
      <c r="X50" s="553"/>
      <c r="Y50" s="171" t="s">
        <v>453</v>
      </c>
      <c r="Z50" s="557" t="s">
        <v>29</v>
      </c>
      <c r="AA50" s="558"/>
      <c r="AB50" s="558"/>
      <c r="AC50" s="209" t="s">
        <v>390</v>
      </c>
      <c r="AD50" s="209" t="s">
        <v>391</v>
      </c>
      <c r="AE50" s="209" t="s">
        <v>135</v>
      </c>
      <c r="AF50" s="171" t="s">
        <v>441</v>
      </c>
      <c r="AG50" s="577" t="s">
        <v>341</v>
      </c>
      <c r="AH50" s="578"/>
      <c r="AI50" s="578"/>
      <c r="AJ50" s="578"/>
      <c r="AK50" s="578"/>
      <c r="AL50" s="578"/>
      <c r="AM50" s="578"/>
      <c r="AN50" s="578"/>
      <c r="AO50" s="578"/>
      <c r="AP50" s="578"/>
      <c r="AQ50" s="579"/>
      <c r="AR50" s="577" t="s">
        <v>342</v>
      </c>
      <c r="AS50" s="578"/>
      <c r="AT50" s="578"/>
      <c r="AU50" s="578"/>
      <c r="AV50" s="578"/>
      <c r="AW50" s="578"/>
      <c r="AX50" s="578"/>
      <c r="AY50" s="578"/>
      <c r="AZ50" s="578"/>
      <c r="BA50" s="578"/>
      <c r="BB50" s="579"/>
      <c r="BC50" s="584">
        <v>1</v>
      </c>
      <c r="BD50" s="585"/>
      <c r="BE50" s="586"/>
      <c r="BF50" s="587">
        <v>0.74</v>
      </c>
      <c r="BG50" s="588"/>
      <c r="BH50" s="573">
        <v>5</v>
      </c>
      <c r="BI50" s="574"/>
      <c r="BJ50" s="587">
        <v>45</v>
      </c>
      <c r="BK50" s="588"/>
      <c r="BL50" s="573">
        <v>65</v>
      </c>
      <c r="BM50" s="574"/>
      <c r="BN50" s="566" t="s">
        <v>106</v>
      </c>
      <c r="BO50" s="306"/>
      <c r="BP50" s="306"/>
      <c r="BQ50" s="487"/>
      <c r="BR50" s="566" t="s">
        <v>106</v>
      </c>
      <c r="BS50" s="306"/>
      <c r="BT50" s="306"/>
      <c r="BU50" s="487"/>
      <c r="BV50" s="580" t="s">
        <v>81</v>
      </c>
      <c r="BW50" s="581"/>
      <c r="BX50" s="580" t="s">
        <v>295</v>
      </c>
      <c r="BY50" s="581"/>
      <c r="BZ50" s="486"/>
      <c r="CA50" s="306"/>
      <c r="CB50" s="487"/>
      <c r="CC50" s="560"/>
      <c r="CD50" s="561"/>
      <c r="CE50" s="561"/>
      <c r="CF50" s="561"/>
      <c r="CG50" s="561"/>
      <c r="CH50" s="561"/>
      <c r="CI50" s="561"/>
      <c r="CJ50" s="561"/>
      <c r="CK50" s="561"/>
      <c r="CL50" s="561"/>
      <c r="CM50" s="562"/>
      <c r="CN50" s="87"/>
      <c r="CO50" s="87"/>
      <c r="CP50" s="87"/>
      <c r="CQ50" s="87"/>
      <c r="CR50" s="87"/>
      <c r="CS50" s="87"/>
      <c r="CT50" s="87"/>
      <c r="CU50" s="87"/>
      <c r="CV50" s="87"/>
      <c r="CW50" s="87"/>
    </row>
    <row r="51" spans="1:108" s="75" customFormat="1" ht="25.65" customHeight="1">
      <c r="A51" s="486">
        <f t="shared" si="1"/>
        <v>45</v>
      </c>
      <c r="B51" s="487"/>
      <c r="C51" s="563" t="s">
        <v>339</v>
      </c>
      <c r="D51" s="564"/>
      <c r="E51" s="564"/>
      <c r="F51" s="564"/>
      <c r="G51" s="564"/>
      <c r="H51" s="565"/>
      <c r="I51" s="554" t="s">
        <v>368</v>
      </c>
      <c r="J51" s="555"/>
      <c r="K51" s="555"/>
      <c r="L51" s="556"/>
      <c r="M51" s="551" t="s">
        <v>340</v>
      </c>
      <c r="N51" s="552"/>
      <c r="O51" s="552"/>
      <c r="P51" s="553"/>
      <c r="Q51" s="210" t="s">
        <v>375</v>
      </c>
      <c r="R51" s="551" t="s">
        <v>298</v>
      </c>
      <c r="S51" s="552"/>
      <c r="T51" s="552"/>
      <c r="U51" s="553"/>
      <c r="V51" s="551" t="s">
        <v>252</v>
      </c>
      <c r="W51" s="552"/>
      <c r="X51" s="553"/>
      <c r="Y51" s="171" t="s">
        <v>453</v>
      </c>
      <c r="Z51" s="557" t="s">
        <v>29</v>
      </c>
      <c r="AA51" s="558"/>
      <c r="AB51" s="558"/>
      <c r="AC51" s="209" t="s">
        <v>390</v>
      </c>
      <c r="AD51" s="209" t="s">
        <v>391</v>
      </c>
      <c r="AE51" s="209" t="s">
        <v>135</v>
      </c>
      <c r="AF51" s="171" t="s">
        <v>442</v>
      </c>
      <c r="AG51" s="577" t="s">
        <v>342</v>
      </c>
      <c r="AH51" s="578"/>
      <c r="AI51" s="578"/>
      <c r="AJ51" s="578"/>
      <c r="AK51" s="578"/>
      <c r="AL51" s="578"/>
      <c r="AM51" s="578"/>
      <c r="AN51" s="578"/>
      <c r="AO51" s="578"/>
      <c r="AP51" s="578"/>
      <c r="AQ51" s="579"/>
      <c r="AR51" s="577" t="s">
        <v>337</v>
      </c>
      <c r="AS51" s="578"/>
      <c r="AT51" s="578"/>
      <c r="AU51" s="578"/>
      <c r="AV51" s="578"/>
      <c r="AW51" s="578"/>
      <c r="AX51" s="578"/>
      <c r="AY51" s="578"/>
      <c r="AZ51" s="578"/>
      <c r="BA51" s="578"/>
      <c r="BB51" s="579"/>
      <c r="BC51" s="584">
        <v>1</v>
      </c>
      <c r="BD51" s="585"/>
      <c r="BE51" s="586"/>
      <c r="BF51" s="587">
        <v>1.18</v>
      </c>
      <c r="BG51" s="588"/>
      <c r="BH51" s="573">
        <v>5</v>
      </c>
      <c r="BI51" s="574"/>
      <c r="BJ51" s="587">
        <v>45</v>
      </c>
      <c r="BK51" s="588"/>
      <c r="BL51" s="573">
        <v>65</v>
      </c>
      <c r="BM51" s="574"/>
      <c r="BN51" s="566" t="s">
        <v>106</v>
      </c>
      <c r="BO51" s="306"/>
      <c r="BP51" s="306"/>
      <c r="BQ51" s="487"/>
      <c r="BR51" s="566" t="s">
        <v>106</v>
      </c>
      <c r="BS51" s="306"/>
      <c r="BT51" s="306"/>
      <c r="BU51" s="487"/>
      <c r="BV51" s="580" t="s">
        <v>81</v>
      </c>
      <c r="BW51" s="581"/>
      <c r="BX51" s="580" t="s">
        <v>295</v>
      </c>
      <c r="BY51" s="581"/>
      <c r="BZ51" s="486"/>
      <c r="CA51" s="306"/>
      <c r="CB51" s="487"/>
      <c r="CC51" s="560"/>
      <c r="CD51" s="561"/>
      <c r="CE51" s="561"/>
      <c r="CF51" s="561"/>
      <c r="CG51" s="561"/>
      <c r="CH51" s="561"/>
      <c r="CI51" s="561"/>
      <c r="CJ51" s="561"/>
      <c r="CK51" s="561"/>
      <c r="CL51" s="561"/>
      <c r="CM51" s="562"/>
      <c r="CN51" s="87"/>
      <c r="CO51" s="87"/>
      <c r="CP51" s="87"/>
      <c r="CQ51" s="87"/>
      <c r="CR51" s="87"/>
      <c r="CS51" s="87"/>
      <c r="CT51" s="87"/>
      <c r="CU51" s="87"/>
      <c r="CV51" s="87"/>
      <c r="CW51" s="87"/>
    </row>
    <row r="52" spans="1:108" s="75" customFormat="1" ht="25.65" customHeight="1">
      <c r="A52" s="486">
        <f t="shared" si="1"/>
        <v>46</v>
      </c>
      <c r="B52" s="487"/>
      <c r="C52" s="563" t="s">
        <v>339</v>
      </c>
      <c r="D52" s="564"/>
      <c r="E52" s="564"/>
      <c r="F52" s="564"/>
      <c r="G52" s="564"/>
      <c r="H52" s="565"/>
      <c r="I52" s="554" t="s">
        <v>368</v>
      </c>
      <c r="J52" s="555"/>
      <c r="K52" s="555"/>
      <c r="L52" s="556"/>
      <c r="M52" s="551" t="s">
        <v>340</v>
      </c>
      <c r="N52" s="552"/>
      <c r="O52" s="552"/>
      <c r="P52" s="553"/>
      <c r="Q52" s="210" t="s">
        <v>375</v>
      </c>
      <c r="R52" s="551" t="s">
        <v>300</v>
      </c>
      <c r="S52" s="552"/>
      <c r="T52" s="552"/>
      <c r="U52" s="553"/>
      <c r="V52" s="551" t="s">
        <v>252</v>
      </c>
      <c r="W52" s="552"/>
      <c r="X52" s="553"/>
      <c r="Y52" s="171" t="s">
        <v>453</v>
      </c>
      <c r="Z52" s="557" t="s">
        <v>29</v>
      </c>
      <c r="AA52" s="558"/>
      <c r="AB52" s="558"/>
      <c r="AC52" s="209" t="s">
        <v>390</v>
      </c>
      <c r="AD52" s="209" t="s">
        <v>391</v>
      </c>
      <c r="AE52" s="209" t="s">
        <v>135</v>
      </c>
      <c r="AF52" s="171" t="s">
        <v>443</v>
      </c>
      <c r="AG52" s="577" t="s">
        <v>343</v>
      </c>
      <c r="AH52" s="578"/>
      <c r="AI52" s="578"/>
      <c r="AJ52" s="578"/>
      <c r="AK52" s="578"/>
      <c r="AL52" s="578"/>
      <c r="AM52" s="578"/>
      <c r="AN52" s="578"/>
      <c r="AO52" s="578"/>
      <c r="AP52" s="578"/>
      <c r="AQ52" s="579"/>
      <c r="AR52" s="577" t="s">
        <v>442</v>
      </c>
      <c r="AS52" s="578"/>
      <c r="AT52" s="578"/>
      <c r="AU52" s="578"/>
      <c r="AV52" s="578"/>
      <c r="AW52" s="578"/>
      <c r="AX52" s="578"/>
      <c r="AY52" s="578"/>
      <c r="AZ52" s="578"/>
      <c r="BA52" s="578"/>
      <c r="BB52" s="579"/>
      <c r="BC52" s="584">
        <v>1</v>
      </c>
      <c r="BD52" s="585"/>
      <c r="BE52" s="586"/>
      <c r="BF52" s="587">
        <v>1.18</v>
      </c>
      <c r="BG52" s="588"/>
      <c r="BH52" s="573">
        <v>5</v>
      </c>
      <c r="BI52" s="574"/>
      <c r="BJ52" s="587">
        <v>45</v>
      </c>
      <c r="BK52" s="588"/>
      <c r="BL52" s="573">
        <v>65</v>
      </c>
      <c r="BM52" s="574"/>
      <c r="BN52" s="566" t="s">
        <v>106</v>
      </c>
      <c r="BO52" s="306"/>
      <c r="BP52" s="306"/>
      <c r="BQ52" s="487"/>
      <c r="BR52" s="566" t="s">
        <v>106</v>
      </c>
      <c r="BS52" s="306"/>
      <c r="BT52" s="306"/>
      <c r="BU52" s="487"/>
      <c r="BV52" s="580" t="s">
        <v>81</v>
      </c>
      <c r="BW52" s="581"/>
      <c r="BX52" s="580" t="s">
        <v>295</v>
      </c>
      <c r="BY52" s="581"/>
      <c r="BZ52" s="486"/>
      <c r="CA52" s="306"/>
      <c r="CB52" s="487"/>
      <c r="CC52" s="560"/>
      <c r="CD52" s="561"/>
      <c r="CE52" s="561"/>
      <c r="CF52" s="561"/>
      <c r="CG52" s="561"/>
      <c r="CH52" s="561"/>
      <c r="CI52" s="561"/>
      <c r="CJ52" s="561"/>
      <c r="CK52" s="561"/>
      <c r="CL52" s="561"/>
      <c r="CM52" s="562"/>
      <c r="CN52" s="87"/>
      <c r="CO52" s="87"/>
      <c r="CP52" s="87"/>
      <c r="CQ52" s="87"/>
      <c r="CR52" s="87"/>
      <c r="CS52" s="87"/>
      <c r="CT52" s="87"/>
      <c r="CU52" s="87"/>
      <c r="CV52" s="87"/>
      <c r="CW52" s="87"/>
    </row>
    <row r="53" spans="1:108" s="75" customFormat="1" ht="25.65" customHeight="1">
      <c r="A53" s="486">
        <f t="shared" si="1"/>
        <v>47</v>
      </c>
      <c r="B53" s="487"/>
      <c r="C53" s="563" t="s">
        <v>339</v>
      </c>
      <c r="D53" s="564"/>
      <c r="E53" s="564"/>
      <c r="F53" s="564"/>
      <c r="G53" s="564"/>
      <c r="H53" s="565"/>
      <c r="I53" s="554" t="s">
        <v>368</v>
      </c>
      <c r="J53" s="555"/>
      <c r="K53" s="555"/>
      <c r="L53" s="556"/>
      <c r="M53" s="551" t="s">
        <v>340</v>
      </c>
      <c r="N53" s="552"/>
      <c r="O53" s="552"/>
      <c r="P53" s="553"/>
      <c r="Q53" s="210" t="s">
        <v>375</v>
      </c>
      <c r="R53" s="551" t="s">
        <v>324</v>
      </c>
      <c r="S53" s="552"/>
      <c r="T53" s="552"/>
      <c r="U53" s="553"/>
      <c r="V53" s="551" t="s">
        <v>252</v>
      </c>
      <c r="W53" s="552"/>
      <c r="X53" s="553"/>
      <c r="Y53" s="171" t="s">
        <v>453</v>
      </c>
      <c r="Z53" s="557" t="s">
        <v>29</v>
      </c>
      <c r="AA53" s="558"/>
      <c r="AB53" s="558"/>
      <c r="AC53" s="209" t="s">
        <v>390</v>
      </c>
      <c r="AD53" s="209" t="s">
        <v>391</v>
      </c>
      <c r="AE53" s="209" t="s">
        <v>135</v>
      </c>
      <c r="AF53" s="171" t="s">
        <v>444</v>
      </c>
      <c r="AG53" s="577" t="s">
        <v>442</v>
      </c>
      <c r="AH53" s="578"/>
      <c r="AI53" s="578"/>
      <c r="AJ53" s="578"/>
      <c r="AK53" s="578"/>
      <c r="AL53" s="578"/>
      <c r="AM53" s="578"/>
      <c r="AN53" s="578"/>
      <c r="AO53" s="578"/>
      <c r="AP53" s="578"/>
      <c r="AQ53" s="579"/>
      <c r="AR53" s="577" t="s">
        <v>328</v>
      </c>
      <c r="AS53" s="578"/>
      <c r="AT53" s="578"/>
      <c r="AU53" s="578"/>
      <c r="AV53" s="578"/>
      <c r="AW53" s="578"/>
      <c r="AX53" s="578"/>
      <c r="AY53" s="578"/>
      <c r="AZ53" s="578"/>
      <c r="BA53" s="578"/>
      <c r="BB53" s="579"/>
      <c r="BC53" s="584">
        <v>1</v>
      </c>
      <c r="BD53" s="585"/>
      <c r="BE53" s="586"/>
      <c r="BF53" s="587">
        <v>1.18</v>
      </c>
      <c r="BG53" s="588"/>
      <c r="BH53" s="573">
        <v>5</v>
      </c>
      <c r="BI53" s="574"/>
      <c r="BJ53" s="587">
        <v>45</v>
      </c>
      <c r="BK53" s="588"/>
      <c r="BL53" s="573">
        <v>65</v>
      </c>
      <c r="BM53" s="574"/>
      <c r="BN53" s="566" t="s">
        <v>106</v>
      </c>
      <c r="BO53" s="306"/>
      <c r="BP53" s="306"/>
      <c r="BQ53" s="487"/>
      <c r="BR53" s="566" t="s">
        <v>106</v>
      </c>
      <c r="BS53" s="306"/>
      <c r="BT53" s="306"/>
      <c r="BU53" s="487"/>
      <c r="BV53" s="580" t="s">
        <v>81</v>
      </c>
      <c r="BW53" s="581"/>
      <c r="BX53" s="580" t="s">
        <v>295</v>
      </c>
      <c r="BY53" s="581"/>
      <c r="BZ53" s="486"/>
      <c r="CA53" s="306"/>
      <c r="CB53" s="487"/>
      <c r="CC53" s="560"/>
      <c r="CD53" s="561"/>
      <c r="CE53" s="561"/>
      <c r="CF53" s="561"/>
      <c r="CG53" s="561"/>
      <c r="CH53" s="561"/>
      <c r="CI53" s="561"/>
      <c r="CJ53" s="561"/>
      <c r="CK53" s="561"/>
      <c r="CL53" s="561"/>
      <c r="CM53" s="562"/>
      <c r="CN53" s="87"/>
      <c r="CO53" s="87"/>
      <c r="CP53" s="87"/>
      <c r="CQ53" s="87"/>
      <c r="CR53" s="87"/>
      <c r="CS53" s="87"/>
      <c r="CT53" s="87"/>
      <c r="CU53" s="87"/>
      <c r="CV53" s="87"/>
      <c r="CW53" s="87"/>
    </row>
    <row r="54" spans="1:108" s="75" customFormat="1" ht="25.65" customHeight="1">
      <c r="A54" s="486">
        <f t="shared" si="1"/>
        <v>48</v>
      </c>
      <c r="B54" s="487"/>
      <c r="C54" s="563" t="s">
        <v>339</v>
      </c>
      <c r="D54" s="564"/>
      <c r="E54" s="564"/>
      <c r="F54" s="564"/>
      <c r="G54" s="564"/>
      <c r="H54" s="565"/>
      <c r="I54" s="551" t="s">
        <v>370</v>
      </c>
      <c r="J54" s="552"/>
      <c r="K54" s="552"/>
      <c r="L54" s="553"/>
      <c r="M54" s="551" t="s">
        <v>340</v>
      </c>
      <c r="N54" s="552"/>
      <c r="O54" s="552"/>
      <c r="P54" s="553"/>
      <c r="Q54" s="210" t="s">
        <v>375</v>
      </c>
      <c r="R54" s="551" t="s">
        <v>325</v>
      </c>
      <c r="S54" s="552"/>
      <c r="T54" s="552"/>
      <c r="U54" s="553"/>
      <c r="V54" s="551" t="s">
        <v>252</v>
      </c>
      <c r="W54" s="552"/>
      <c r="X54" s="553"/>
      <c r="Y54" s="171" t="s">
        <v>453</v>
      </c>
      <c r="Z54" s="557" t="s">
        <v>29</v>
      </c>
      <c r="AA54" s="558"/>
      <c r="AB54" s="558"/>
      <c r="AC54" s="209" t="s">
        <v>390</v>
      </c>
      <c r="AD54" s="209" t="s">
        <v>391</v>
      </c>
      <c r="AE54" s="209" t="s">
        <v>135</v>
      </c>
      <c r="AF54" s="171" t="s">
        <v>445</v>
      </c>
      <c r="AG54" s="577" t="s">
        <v>341</v>
      </c>
      <c r="AH54" s="578"/>
      <c r="AI54" s="578"/>
      <c r="AJ54" s="578"/>
      <c r="AK54" s="578"/>
      <c r="AL54" s="578"/>
      <c r="AM54" s="578"/>
      <c r="AN54" s="578"/>
      <c r="AO54" s="578"/>
      <c r="AP54" s="578"/>
      <c r="AQ54" s="579"/>
      <c r="AR54" s="577" t="s">
        <v>343</v>
      </c>
      <c r="AS54" s="578"/>
      <c r="AT54" s="578"/>
      <c r="AU54" s="578"/>
      <c r="AV54" s="578"/>
      <c r="AW54" s="578"/>
      <c r="AX54" s="578"/>
      <c r="AY54" s="578"/>
      <c r="AZ54" s="578"/>
      <c r="BA54" s="578"/>
      <c r="BB54" s="579"/>
      <c r="BC54" s="584">
        <v>1</v>
      </c>
      <c r="BD54" s="585"/>
      <c r="BE54" s="586"/>
      <c r="BF54" s="587">
        <v>0.74</v>
      </c>
      <c r="BG54" s="588"/>
      <c r="BH54" s="573">
        <v>5</v>
      </c>
      <c r="BI54" s="574"/>
      <c r="BJ54" s="587">
        <v>45</v>
      </c>
      <c r="BK54" s="588"/>
      <c r="BL54" s="573">
        <v>65</v>
      </c>
      <c r="BM54" s="574"/>
      <c r="BN54" s="566" t="s">
        <v>106</v>
      </c>
      <c r="BO54" s="306"/>
      <c r="BP54" s="306"/>
      <c r="BQ54" s="487"/>
      <c r="BR54" s="566" t="s">
        <v>106</v>
      </c>
      <c r="BS54" s="306"/>
      <c r="BT54" s="306"/>
      <c r="BU54" s="487"/>
      <c r="BV54" s="580" t="s">
        <v>81</v>
      </c>
      <c r="BW54" s="581"/>
      <c r="BX54" s="580" t="s">
        <v>295</v>
      </c>
      <c r="BY54" s="581"/>
      <c r="BZ54" s="486"/>
      <c r="CA54" s="306"/>
      <c r="CB54" s="487"/>
      <c r="CC54" s="560"/>
      <c r="CD54" s="561"/>
      <c r="CE54" s="561"/>
      <c r="CF54" s="561"/>
      <c r="CG54" s="561"/>
      <c r="CH54" s="561"/>
      <c r="CI54" s="561"/>
      <c r="CJ54" s="561"/>
      <c r="CK54" s="561"/>
      <c r="CL54" s="561"/>
      <c r="CM54" s="562"/>
      <c r="CN54" s="87"/>
      <c r="CO54" s="87"/>
      <c r="CP54" s="87"/>
      <c r="CQ54" s="87"/>
      <c r="CR54" s="87"/>
      <c r="CS54" s="87"/>
      <c r="CT54" s="87"/>
      <c r="CU54" s="87"/>
      <c r="CV54" s="87"/>
      <c r="CW54" s="87"/>
    </row>
    <row r="55" spans="1:108" s="75" customFormat="1" ht="25.65" customHeight="1">
      <c r="A55" s="486">
        <f t="shared" si="1"/>
        <v>49</v>
      </c>
      <c r="B55" s="487"/>
      <c r="C55" s="563" t="s">
        <v>339</v>
      </c>
      <c r="D55" s="564"/>
      <c r="E55" s="564"/>
      <c r="F55" s="564"/>
      <c r="G55" s="564"/>
      <c r="H55" s="565"/>
      <c r="I55" s="554" t="s">
        <v>368</v>
      </c>
      <c r="J55" s="555"/>
      <c r="K55" s="555"/>
      <c r="L55" s="556"/>
      <c r="M55" s="551" t="s">
        <v>340</v>
      </c>
      <c r="N55" s="552"/>
      <c r="O55" s="552"/>
      <c r="P55" s="553"/>
      <c r="Q55" s="210" t="s">
        <v>375</v>
      </c>
      <c r="R55" s="551" t="s">
        <v>310</v>
      </c>
      <c r="S55" s="552"/>
      <c r="T55" s="552"/>
      <c r="U55" s="553"/>
      <c r="V55" s="551" t="s">
        <v>252</v>
      </c>
      <c r="W55" s="552"/>
      <c r="X55" s="553"/>
      <c r="Y55" s="171" t="s">
        <v>453</v>
      </c>
      <c r="Z55" s="557" t="s">
        <v>29</v>
      </c>
      <c r="AA55" s="558"/>
      <c r="AB55" s="558"/>
      <c r="AC55" s="209" t="s">
        <v>390</v>
      </c>
      <c r="AD55" s="209" t="s">
        <v>391</v>
      </c>
      <c r="AE55" s="209" t="s">
        <v>135</v>
      </c>
      <c r="AF55" s="171" t="s">
        <v>446</v>
      </c>
      <c r="AG55" s="577" t="s">
        <v>442</v>
      </c>
      <c r="AH55" s="578"/>
      <c r="AI55" s="578"/>
      <c r="AJ55" s="578"/>
      <c r="AK55" s="578"/>
      <c r="AL55" s="578"/>
      <c r="AM55" s="578"/>
      <c r="AN55" s="578"/>
      <c r="AO55" s="578"/>
      <c r="AP55" s="578"/>
      <c r="AQ55" s="579"/>
      <c r="AR55" s="577" t="s">
        <v>341</v>
      </c>
      <c r="AS55" s="578"/>
      <c r="AT55" s="578"/>
      <c r="AU55" s="578"/>
      <c r="AV55" s="578"/>
      <c r="AW55" s="578"/>
      <c r="AX55" s="578"/>
      <c r="AY55" s="578"/>
      <c r="AZ55" s="578"/>
      <c r="BA55" s="578"/>
      <c r="BB55" s="579"/>
      <c r="BC55" s="584">
        <v>1</v>
      </c>
      <c r="BD55" s="585"/>
      <c r="BE55" s="586"/>
      <c r="BF55" s="587">
        <v>0.74</v>
      </c>
      <c r="BG55" s="588"/>
      <c r="BH55" s="573">
        <v>5</v>
      </c>
      <c r="BI55" s="574"/>
      <c r="BJ55" s="587">
        <v>45</v>
      </c>
      <c r="BK55" s="588"/>
      <c r="BL55" s="573">
        <v>65</v>
      </c>
      <c r="BM55" s="574"/>
      <c r="BN55" s="566" t="s">
        <v>106</v>
      </c>
      <c r="BO55" s="306"/>
      <c r="BP55" s="306"/>
      <c r="BQ55" s="487"/>
      <c r="BR55" s="566" t="s">
        <v>106</v>
      </c>
      <c r="BS55" s="306"/>
      <c r="BT55" s="306"/>
      <c r="BU55" s="487"/>
      <c r="BV55" s="580" t="s">
        <v>81</v>
      </c>
      <c r="BW55" s="581"/>
      <c r="BX55" s="580" t="s">
        <v>295</v>
      </c>
      <c r="BY55" s="581"/>
      <c r="BZ55" s="486"/>
      <c r="CA55" s="306"/>
      <c r="CB55" s="487"/>
      <c r="CC55" s="560"/>
      <c r="CD55" s="561"/>
      <c r="CE55" s="561"/>
      <c r="CF55" s="561"/>
      <c r="CG55" s="561"/>
      <c r="CH55" s="561"/>
      <c r="CI55" s="561"/>
      <c r="CJ55" s="561"/>
      <c r="CK55" s="561"/>
      <c r="CL55" s="561"/>
      <c r="CM55" s="562"/>
      <c r="CN55" s="87"/>
      <c r="CO55" s="87"/>
      <c r="CP55" s="87"/>
      <c r="CQ55" s="87"/>
      <c r="CR55" s="87"/>
      <c r="CS55" s="87"/>
      <c r="CT55" s="87"/>
      <c r="CU55" s="87"/>
      <c r="CV55" s="87"/>
      <c r="CW55" s="87"/>
    </row>
    <row r="56" spans="1:108" s="75" customFormat="1" ht="25.65" customHeight="1">
      <c r="A56" s="486">
        <f t="shared" si="1"/>
        <v>50</v>
      </c>
      <c r="B56" s="487"/>
      <c r="C56" s="563" t="s">
        <v>339</v>
      </c>
      <c r="D56" s="564"/>
      <c r="E56" s="564"/>
      <c r="F56" s="564"/>
      <c r="G56" s="564"/>
      <c r="H56" s="565"/>
      <c r="I56" s="554" t="s">
        <v>368</v>
      </c>
      <c r="J56" s="555"/>
      <c r="K56" s="555"/>
      <c r="L56" s="556"/>
      <c r="M56" s="551" t="s">
        <v>364</v>
      </c>
      <c r="N56" s="552"/>
      <c r="O56" s="552"/>
      <c r="P56" s="553"/>
      <c r="Q56" s="210" t="s">
        <v>375</v>
      </c>
      <c r="R56" s="551" t="s">
        <v>365</v>
      </c>
      <c r="S56" s="552"/>
      <c r="T56" s="552"/>
      <c r="U56" s="553"/>
      <c r="V56" s="551" t="s">
        <v>366</v>
      </c>
      <c r="W56" s="552"/>
      <c r="X56" s="553"/>
      <c r="Y56" s="171" t="s">
        <v>454</v>
      </c>
      <c r="Z56" s="557" t="s">
        <v>29</v>
      </c>
      <c r="AA56" s="558"/>
      <c r="AB56" s="559"/>
      <c r="AC56" s="209" t="s">
        <v>390</v>
      </c>
      <c r="AD56" s="209" t="s">
        <v>366</v>
      </c>
      <c r="AE56" s="209" t="s">
        <v>394</v>
      </c>
      <c r="AF56" s="171" t="s">
        <v>447</v>
      </c>
      <c r="AG56" s="577" t="s">
        <v>337</v>
      </c>
      <c r="AH56" s="578"/>
      <c r="AI56" s="578"/>
      <c r="AJ56" s="578"/>
      <c r="AK56" s="578"/>
      <c r="AL56" s="578"/>
      <c r="AM56" s="578"/>
      <c r="AN56" s="578"/>
      <c r="AO56" s="578"/>
      <c r="AP56" s="578"/>
      <c r="AQ56" s="579"/>
      <c r="AR56" s="577" t="s">
        <v>367</v>
      </c>
      <c r="AS56" s="578"/>
      <c r="AT56" s="578"/>
      <c r="AU56" s="578"/>
      <c r="AV56" s="578"/>
      <c r="AW56" s="578"/>
      <c r="AX56" s="578"/>
      <c r="AY56" s="578"/>
      <c r="AZ56" s="578"/>
      <c r="BA56" s="578"/>
      <c r="BB56" s="579"/>
      <c r="BC56" s="486">
        <v>0.62</v>
      </c>
      <c r="BD56" s="306"/>
      <c r="BE56" s="487"/>
      <c r="BF56" s="587">
        <v>1.0329999999999999</v>
      </c>
      <c r="BG56" s="588"/>
      <c r="BH56" s="573">
        <v>1.5</v>
      </c>
      <c r="BI56" s="574"/>
      <c r="BJ56" s="587">
        <v>45</v>
      </c>
      <c r="BK56" s="588"/>
      <c r="BL56" s="573">
        <v>50</v>
      </c>
      <c r="BM56" s="574"/>
      <c r="BN56" s="566" t="s">
        <v>106</v>
      </c>
      <c r="BO56" s="306"/>
      <c r="BP56" s="306"/>
      <c r="BQ56" s="487"/>
      <c r="BR56" s="566" t="s">
        <v>106</v>
      </c>
      <c r="BS56" s="306"/>
      <c r="BT56" s="306"/>
      <c r="BU56" s="487"/>
      <c r="BV56" s="580" t="s">
        <v>81</v>
      </c>
      <c r="BW56" s="581"/>
      <c r="BX56" s="580" t="s">
        <v>295</v>
      </c>
      <c r="BY56" s="581"/>
      <c r="BZ56" s="486"/>
      <c r="CA56" s="306"/>
      <c r="CB56" s="487"/>
      <c r="CC56" s="560"/>
      <c r="CD56" s="561"/>
      <c r="CE56" s="561"/>
      <c r="CF56" s="561"/>
      <c r="CG56" s="561"/>
      <c r="CH56" s="561"/>
      <c r="CI56" s="561"/>
      <c r="CJ56" s="561"/>
      <c r="CK56" s="561"/>
      <c r="CL56" s="561"/>
      <c r="CM56" s="562"/>
      <c r="CN56" s="87"/>
      <c r="CO56" s="87"/>
      <c r="CP56" s="87"/>
      <c r="CQ56" s="87"/>
      <c r="CR56" s="87"/>
      <c r="CS56" s="87"/>
      <c r="CT56" s="87"/>
      <c r="CU56" s="87"/>
      <c r="CV56" s="87"/>
      <c r="CW56" s="87"/>
    </row>
    <row r="57" spans="1:108" s="75" customFormat="1" ht="25.65" customHeight="1">
      <c r="A57" s="486"/>
      <c r="B57" s="487"/>
      <c r="C57" s="563"/>
      <c r="D57" s="564"/>
      <c r="E57" s="564"/>
      <c r="F57" s="564"/>
      <c r="G57" s="564"/>
      <c r="H57" s="565"/>
      <c r="I57" s="554"/>
      <c r="J57" s="555"/>
      <c r="K57" s="555"/>
      <c r="L57" s="556"/>
      <c r="M57" s="551"/>
      <c r="N57" s="552"/>
      <c r="O57" s="552"/>
      <c r="P57" s="553"/>
      <c r="Q57" s="210"/>
      <c r="R57" s="551" t="s">
        <v>457</v>
      </c>
      <c r="S57" s="552"/>
      <c r="T57" s="552"/>
      <c r="U57" s="553"/>
      <c r="V57" s="551"/>
      <c r="W57" s="552"/>
      <c r="X57" s="553"/>
      <c r="Y57" s="171"/>
      <c r="Z57" s="557"/>
      <c r="AA57" s="558"/>
      <c r="AB57" s="559"/>
      <c r="AC57" s="209"/>
      <c r="AD57" s="209"/>
      <c r="AE57" s="209"/>
      <c r="AF57" s="171"/>
      <c r="AG57" s="577"/>
      <c r="AH57" s="578"/>
      <c r="AI57" s="578"/>
      <c r="AJ57" s="578"/>
      <c r="AK57" s="578"/>
      <c r="AL57" s="578"/>
      <c r="AM57" s="578"/>
      <c r="AN57" s="578"/>
      <c r="AO57" s="578"/>
      <c r="AP57" s="578"/>
      <c r="AQ57" s="579"/>
      <c r="AR57" s="577"/>
      <c r="AS57" s="578"/>
      <c r="AT57" s="578"/>
      <c r="AU57" s="578"/>
      <c r="AV57" s="578"/>
      <c r="AW57" s="578"/>
      <c r="AX57" s="578"/>
      <c r="AY57" s="578"/>
      <c r="AZ57" s="578"/>
      <c r="BA57" s="578"/>
      <c r="BB57" s="579"/>
      <c r="BC57" s="486"/>
      <c r="BD57" s="306"/>
      <c r="BE57" s="487"/>
      <c r="BF57" s="587"/>
      <c r="BG57" s="588"/>
      <c r="BH57" s="573"/>
      <c r="BI57" s="574"/>
      <c r="BJ57" s="587"/>
      <c r="BK57" s="588"/>
      <c r="BL57" s="573"/>
      <c r="BM57" s="574"/>
      <c r="BN57" s="566"/>
      <c r="BO57" s="306"/>
      <c r="BP57" s="306"/>
      <c r="BQ57" s="487"/>
      <c r="BR57" s="566"/>
      <c r="BS57" s="306"/>
      <c r="BT57" s="306"/>
      <c r="BU57" s="487"/>
      <c r="BV57" s="580"/>
      <c r="BW57" s="581"/>
      <c r="BX57" s="580"/>
      <c r="BY57" s="581"/>
      <c r="BZ57" s="486"/>
      <c r="CA57" s="306"/>
      <c r="CB57" s="487"/>
      <c r="CC57" s="560"/>
      <c r="CD57" s="561"/>
      <c r="CE57" s="561"/>
      <c r="CF57" s="561"/>
      <c r="CG57" s="561"/>
      <c r="CH57" s="561"/>
      <c r="CI57" s="561"/>
      <c r="CJ57" s="561"/>
      <c r="CK57" s="561"/>
      <c r="CL57" s="561"/>
      <c r="CM57" s="562"/>
      <c r="CN57" s="87"/>
      <c r="CO57" s="87"/>
      <c r="CP57" s="87"/>
      <c r="CQ57" s="87"/>
      <c r="CR57" s="87"/>
      <c r="CS57" s="87"/>
      <c r="CT57" s="87"/>
      <c r="CU57" s="87"/>
      <c r="CV57" s="87"/>
      <c r="CW57" s="87"/>
    </row>
    <row r="58" spans="1:108" s="75" customFormat="1" ht="25.65" customHeight="1">
      <c r="A58" s="486"/>
      <c r="B58" s="487"/>
      <c r="C58" s="563"/>
      <c r="D58" s="564"/>
      <c r="E58" s="564"/>
      <c r="F58" s="564"/>
      <c r="G58" s="564"/>
      <c r="H58" s="565"/>
      <c r="I58" s="554"/>
      <c r="J58" s="555"/>
      <c r="K58" s="555"/>
      <c r="L58" s="556"/>
      <c r="M58" s="551"/>
      <c r="N58" s="552"/>
      <c r="O58" s="552"/>
      <c r="P58" s="553"/>
      <c r="Q58" s="210"/>
      <c r="R58" s="551" t="s">
        <v>458</v>
      </c>
      <c r="S58" s="552"/>
      <c r="T58" s="552"/>
      <c r="U58" s="553"/>
      <c r="V58" s="551"/>
      <c r="W58" s="552"/>
      <c r="X58" s="553"/>
      <c r="Y58" s="171"/>
      <c r="Z58" s="557"/>
      <c r="AA58" s="558"/>
      <c r="AB58" s="559"/>
      <c r="AC58" s="209"/>
      <c r="AD58" s="209"/>
      <c r="AE58" s="209"/>
      <c r="AF58" s="171"/>
      <c r="AG58" s="577"/>
      <c r="AH58" s="578"/>
      <c r="AI58" s="578"/>
      <c r="AJ58" s="578"/>
      <c r="AK58" s="578"/>
      <c r="AL58" s="578"/>
      <c r="AM58" s="578"/>
      <c r="AN58" s="578"/>
      <c r="AO58" s="578"/>
      <c r="AP58" s="578"/>
      <c r="AQ58" s="579"/>
      <c r="AR58" s="577"/>
      <c r="AS58" s="578"/>
      <c r="AT58" s="578"/>
      <c r="AU58" s="578"/>
      <c r="AV58" s="578"/>
      <c r="AW58" s="578"/>
      <c r="AX58" s="578"/>
      <c r="AY58" s="578"/>
      <c r="AZ58" s="578"/>
      <c r="BA58" s="578"/>
      <c r="BB58" s="579"/>
      <c r="BC58" s="486"/>
      <c r="BD58" s="306"/>
      <c r="BE58" s="487"/>
      <c r="BF58" s="587"/>
      <c r="BG58" s="588"/>
      <c r="BH58" s="573"/>
      <c r="BI58" s="574"/>
      <c r="BJ58" s="587"/>
      <c r="BK58" s="588"/>
      <c r="BL58" s="573"/>
      <c r="BM58" s="574"/>
      <c r="BN58" s="566"/>
      <c r="BO58" s="306"/>
      <c r="BP58" s="306"/>
      <c r="BQ58" s="487"/>
      <c r="BR58" s="566"/>
      <c r="BS58" s="306"/>
      <c r="BT58" s="306"/>
      <c r="BU58" s="487"/>
      <c r="BV58" s="580"/>
      <c r="BW58" s="581"/>
      <c r="BX58" s="580"/>
      <c r="BY58" s="581"/>
      <c r="BZ58" s="486"/>
      <c r="CA58" s="306"/>
      <c r="CB58" s="487"/>
      <c r="CC58" s="560"/>
      <c r="CD58" s="561"/>
      <c r="CE58" s="561"/>
      <c r="CF58" s="561"/>
      <c r="CG58" s="561"/>
      <c r="CH58" s="561"/>
      <c r="CI58" s="561"/>
      <c r="CJ58" s="561"/>
      <c r="CK58" s="561"/>
      <c r="CL58" s="561"/>
      <c r="CM58" s="562"/>
      <c r="CN58" s="87"/>
      <c r="CO58" s="87"/>
      <c r="CP58" s="87"/>
      <c r="CQ58" s="87"/>
      <c r="CR58" s="87"/>
      <c r="CS58" s="87"/>
      <c r="CT58" s="87"/>
      <c r="CU58" s="87"/>
      <c r="CV58" s="87"/>
      <c r="CW58" s="87"/>
    </row>
    <row r="59" spans="1:108" s="75" customFormat="1" ht="25.65" customHeight="1">
      <c r="A59" s="486"/>
      <c r="B59" s="487"/>
      <c r="C59" s="563"/>
      <c r="D59" s="564"/>
      <c r="E59" s="564"/>
      <c r="F59" s="564"/>
      <c r="G59" s="564"/>
      <c r="H59" s="565"/>
      <c r="I59" s="554"/>
      <c r="J59" s="555"/>
      <c r="K59" s="555"/>
      <c r="L59" s="556"/>
      <c r="M59" s="551"/>
      <c r="N59" s="552"/>
      <c r="O59" s="552"/>
      <c r="P59" s="553"/>
      <c r="Q59" s="210"/>
      <c r="R59" s="551" t="s">
        <v>459</v>
      </c>
      <c r="S59" s="552"/>
      <c r="T59" s="552"/>
      <c r="U59" s="553"/>
      <c r="V59" s="551"/>
      <c r="W59" s="552"/>
      <c r="X59" s="553"/>
      <c r="Y59" s="171"/>
      <c r="Z59" s="557"/>
      <c r="AA59" s="558"/>
      <c r="AB59" s="559"/>
      <c r="AC59" s="209"/>
      <c r="AD59" s="209"/>
      <c r="AE59" s="209"/>
      <c r="AF59" s="171"/>
      <c r="AG59" s="577"/>
      <c r="AH59" s="578"/>
      <c r="AI59" s="578"/>
      <c r="AJ59" s="578"/>
      <c r="AK59" s="578"/>
      <c r="AL59" s="578"/>
      <c r="AM59" s="578"/>
      <c r="AN59" s="578"/>
      <c r="AO59" s="578"/>
      <c r="AP59" s="578"/>
      <c r="AQ59" s="579"/>
      <c r="AR59" s="577"/>
      <c r="AS59" s="578"/>
      <c r="AT59" s="578"/>
      <c r="AU59" s="578"/>
      <c r="AV59" s="578"/>
      <c r="AW59" s="578"/>
      <c r="AX59" s="578"/>
      <c r="AY59" s="578"/>
      <c r="AZ59" s="578"/>
      <c r="BA59" s="578"/>
      <c r="BB59" s="579"/>
      <c r="BC59" s="486"/>
      <c r="BD59" s="306"/>
      <c r="BE59" s="487"/>
      <c r="BF59" s="587"/>
      <c r="BG59" s="588"/>
      <c r="BH59" s="573"/>
      <c r="BI59" s="574"/>
      <c r="BJ59" s="587"/>
      <c r="BK59" s="588"/>
      <c r="BL59" s="573"/>
      <c r="BM59" s="574"/>
      <c r="BN59" s="566"/>
      <c r="BO59" s="306"/>
      <c r="BP59" s="306"/>
      <c r="BQ59" s="487"/>
      <c r="BR59" s="566"/>
      <c r="BS59" s="306"/>
      <c r="BT59" s="306"/>
      <c r="BU59" s="487"/>
      <c r="BV59" s="580"/>
      <c r="BW59" s="581"/>
      <c r="BX59" s="580"/>
      <c r="BY59" s="581"/>
      <c r="BZ59" s="486"/>
      <c r="CA59" s="306"/>
      <c r="CB59" s="487"/>
      <c r="CC59" s="560"/>
      <c r="CD59" s="561"/>
      <c r="CE59" s="561"/>
      <c r="CF59" s="561"/>
      <c r="CG59" s="561"/>
      <c r="CH59" s="561"/>
      <c r="CI59" s="561"/>
      <c r="CJ59" s="561"/>
      <c r="CK59" s="561"/>
      <c r="CL59" s="561"/>
      <c r="CM59" s="562"/>
      <c r="CN59" s="87"/>
      <c r="CO59" s="87"/>
      <c r="CP59" s="87"/>
      <c r="CQ59" s="87"/>
      <c r="CR59" s="87"/>
      <c r="CS59" s="87"/>
      <c r="CT59" s="87"/>
      <c r="CU59" s="87"/>
      <c r="CV59" s="87"/>
      <c r="CW59" s="87"/>
    </row>
    <row r="60" spans="1:108" s="75" customFormat="1" ht="25.65" customHeight="1">
      <c r="A60" s="486"/>
      <c r="B60" s="487"/>
      <c r="C60" s="563"/>
      <c r="D60" s="564"/>
      <c r="E60" s="564"/>
      <c r="F60" s="564"/>
      <c r="G60" s="564"/>
      <c r="H60" s="565"/>
      <c r="I60" s="554"/>
      <c r="J60" s="555"/>
      <c r="K60" s="555"/>
      <c r="L60" s="556"/>
      <c r="M60" s="551"/>
      <c r="N60" s="552"/>
      <c r="O60" s="552"/>
      <c r="P60" s="553"/>
      <c r="Q60" s="210"/>
      <c r="R60" s="551"/>
      <c r="S60" s="552"/>
      <c r="T60" s="552"/>
      <c r="U60" s="553"/>
      <c r="V60" s="551"/>
      <c r="W60" s="552"/>
      <c r="X60" s="553"/>
      <c r="Y60" s="171"/>
      <c r="Z60" s="557"/>
      <c r="AA60" s="558"/>
      <c r="AB60" s="559"/>
      <c r="AC60" s="209"/>
      <c r="AD60" s="209"/>
      <c r="AE60" s="209"/>
      <c r="AF60" s="171"/>
      <c r="AG60" s="577"/>
      <c r="AH60" s="578"/>
      <c r="AI60" s="578"/>
      <c r="AJ60" s="578"/>
      <c r="AK60" s="578"/>
      <c r="AL60" s="578"/>
      <c r="AM60" s="578"/>
      <c r="AN60" s="578"/>
      <c r="AO60" s="578"/>
      <c r="AP60" s="578"/>
      <c r="AQ60" s="579"/>
      <c r="AR60" s="577"/>
      <c r="AS60" s="578"/>
      <c r="AT60" s="578"/>
      <c r="AU60" s="578"/>
      <c r="AV60" s="578"/>
      <c r="AW60" s="578"/>
      <c r="AX60" s="578"/>
      <c r="AY60" s="578"/>
      <c r="AZ60" s="578"/>
      <c r="BA60" s="578"/>
      <c r="BB60" s="579"/>
      <c r="BC60" s="486"/>
      <c r="BD60" s="306"/>
      <c r="BE60" s="487"/>
      <c r="BF60" s="587"/>
      <c r="BG60" s="588"/>
      <c r="BH60" s="573"/>
      <c r="BI60" s="574"/>
      <c r="BJ60" s="587"/>
      <c r="BK60" s="588"/>
      <c r="BL60" s="573"/>
      <c r="BM60" s="574"/>
      <c r="BN60" s="566"/>
      <c r="BO60" s="306"/>
      <c r="BP60" s="306"/>
      <c r="BQ60" s="487"/>
      <c r="BR60" s="566"/>
      <c r="BS60" s="306"/>
      <c r="BT60" s="306"/>
      <c r="BU60" s="487"/>
      <c r="BV60" s="580"/>
      <c r="BW60" s="581"/>
      <c r="BX60" s="580"/>
      <c r="BY60" s="581"/>
      <c r="BZ60" s="486"/>
      <c r="CA60" s="306"/>
      <c r="CB60" s="487"/>
      <c r="CC60" s="560"/>
      <c r="CD60" s="561"/>
      <c r="CE60" s="561"/>
      <c r="CF60" s="561"/>
      <c r="CG60" s="561"/>
      <c r="CH60" s="561"/>
      <c r="CI60" s="561"/>
      <c r="CJ60" s="561"/>
      <c r="CK60" s="561"/>
      <c r="CL60" s="561"/>
      <c r="CM60" s="562"/>
      <c r="CN60" s="87"/>
      <c r="CO60" s="87"/>
      <c r="CP60" s="87"/>
      <c r="CQ60" s="87"/>
      <c r="CR60" s="87"/>
      <c r="CS60" s="87"/>
      <c r="CT60" s="87"/>
      <c r="CU60" s="87"/>
      <c r="CV60" s="87"/>
      <c r="CW60" s="87"/>
    </row>
    <row r="61" spans="1:108" s="75" customFormat="1" ht="25.65" customHeight="1">
      <c r="A61" s="486"/>
      <c r="B61" s="487"/>
      <c r="C61" s="563"/>
      <c r="D61" s="564"/>
      <c r="E61" s="564"/>
      <c r="F61" s="564"/>
      <c r="G61" s="564"/>
      <c r="H61" s="565"/>
      <c r="I61" s="554"/>
      <c r="J61" s="555"/>
      <c r="K61" s="555"/>
      <c r="L61" s="556"/>
      <c r="M61" s="551"/>
      <c r="N61" s="552"/>
      <c r="O61" s="552"/>
      <c r="P61" s="553"/>
      <c r="Q61" s="210"/>
      <c r="R61" s="551"/>
      <c r="S61" s="552"/>
      <c r="T61" s="552"/>
      <c r="U61" s="553"/>
      <c r="V61" s="551"/>
      <c r="W61" s="552"/>
      <c r="X61" s="553"/>
      <c r="Y61" s="171"/>
      <c r="Z61" s="557"/>
      <c r="AA61" s="558"/>
      <c r="AB61" s="559"/>
      <c r="AC61" s="209"/>
      <c r="AD61" s="209"/>
      <c r="AE61" s="209"/>
      <c r="AF61" s="171"/>
      <c r="AG61" s="577"/>
      <c r="AH61" s="578"/>
      <c r="AI61" s="578"/>
      <c r="AJ61" s="578"/>
      <c r="AK61" s="578"/>
      <c r="AL61" s="578"/>
      <c r="AM61" s="578"/>
      <c r="AN61" s="578"/>
      <c r="AO61" s="578"/>
      <c r="AP61" s="578"/>
      <c r="AQ61" s="579"/>
      <c r="AR61" s="577"/>
      <c r="AS61" s="578"/>
      <c r="AT61" s="578"/>
      <c r="AU61" s="578"/>
      <c r="AV61" s="578"/>
      <c r="AW61" s="578"/>
      <c r="AX61" s="578"/>
      <c r="AY61" s="578"/>
      <c r="AZ61" s="578"/>
      <c r="BA61" s="578"/>
      <c r="BB61" s="579"/>
      <c r="BC61" s="486"/>
      <c r="BD61" s="306"/>
      <c r="BE61" s="487"/>
      <c r="BF61" s="587"/>
      <c r="BG61" s="588"/>
      <c r="BH61" s="573"/>
      <c r="BI61" s="574"/>
      <c r="BJ61" s="587"/>
      <c r="BK61" s="588"/>
      <c r="BL61" s="573"/>
      <c r="BM61" s="574"/>
      <c r="BN61" s="566"/>
      <c r="BO61" s="306"/>
      <c r="BP61" s="306"/>
      <c r="BQ61" s="487"/>
      <c r="BR61" s="566"/>
      <c r="BS61" s="306"/>
      <c r="BT61" s="306"/>
      <c r="BU61" s="487"/>
      <c r="BV61" s="580"/>
      <c r="BW61" s="581"/>
      <c r="BX61" s="580"/>
      <c r="BY61" s="581"/>
      <c r="BZ61" s="486"/>
      <c r="CA61" s="306"/>
      <c r="CB61" s="487"/>
      <c r="CC61" s="560"/>
      <c r="CD61" s="561"/>
      <c r="CE61" s="561"/>
      <c r="CF61" s="561"/>
      <c r="CG61" s="561"/>
      <c r="CH61" s="561"/>
      <c r="CI61" s="561"/>
      <c r="CJ61" s="561"/>
      <c r="CK61" s="561"/>
      <c r="CL61" s="561"/>
      <c r="CM61" s="562"/>
      <c r="CN61" s="87"/>
      <c r="CO61" s="87"/>
      <c r="CP61" s="87"/>
      <c r="CQ61" s="87"/>
      <c r="CR61" s="87"/>
      <c r="CS61" s="87"/>
      <c r="CT61" s="87"/>
      <c r="CU61" s="87"/>
      <c r="CV61" s="87"/>
      <c r="CW61" s="87"/>
    </row>
    <row r="62" spans="1:108" s="75" customFormat="1" ht="25.65" customHeight="1">
      <c r="A62" s="486"/>
      <c r="B62" s="487"/>
      <c r="C62" s="563"/>
      <c r="D62" s="564"/>
      <c r="E62" s="564"/>
      <c r="F62" s="564"/>
      <c r="G62" s="564"/>
      <c r="H62" s="565"/>
      <c r="I62" s="554"/>
      <c r="J62" s="555"/>
      <c r="K62" s="555"/>
      <c r="L62" s="556"/>
      <c r="M62" s="551"/>
      <c r="N62" s="552"/>
      <c r="O62" s="552"/>
      <c r="P62" s="553"/>
      <c r="Q62" s="210"/>
      <c r="R62" s="551"/>
      <c r="S62" s="552"/>
      <c r="T62" s="552"/>
      <c r="U62" s="553"/>
      <c r="V62" s="551"/>
      <c r="W62" s="552"/>
      <c r="X62" s="553"/>
      <c r="Y62" s="171"/>
      <c r="Z62" s="557"/>
      <c r="AA62" s="558"/>
      <c r="AB62" s="559"/>
      <c r="AC62" s="209"/>
      <c r="AD62" s="209"/>
      <c r="AE62" s="209"/>
      <c r="AF62" s="171"/>
      <c r="AG62" s="577"/>
      <c r="AH62" s="578"/>
      <c r="AI62" s="578"/>
      <c r="AJ62" s="578"/>
      <c r="AK62" s="578"/>
      <c r="AL62" s="578"/>
      <c r="AM62" s="578"/>
      <c r="AN62" s="578"/>
      <c r="AO62" s="578"/>
      <c r="AP62" s="578"/>
      <c r="AQ62" s="579"/>
      <c r="AR62" s="577"/>
      <c r="AS62" s="578"/>
      <c r="AT62" s="578"/>
      <c r="AU62" s="578"/>
      <c r="AV62" s="578"/>
      <c r="AW62" s="578"/>
      <c r="AX62" s="578"/>
      <c r="AY62" s="578"/>
      <c r="AZ62" s="578"/>
      <c r="BA62" s="578"/>
      <c r="BB62" s="579"/>
      <c r="BC62" s="486"/>
      <c r="BD62" s="306"/>
      <c r="BE62" s="487"/>
      <c r="BF62" s="587"/>
      <c r="BG62" s="588"/>
      <c r="BH62" s="573"/>
      <c r="BI62" s="574"/>
      <c r="BJ62" s="587"/>
      <c r="BK62" s="588"/>
      <c r="BL62" s="573"/>
      <c r="BM62" s="574"/>
      <c r="BN62" s="566"/>
      <c r="BO62" s="306"/>
      <c r="BP62" s="306"/>
      <c r="BQ62" s="487"/>
      <c r="BR62" s="566"/>
      <c r="BS62" s="306"/>
      <c r="BT62" s="306"/>
      <c r="BU62" s="487"/>
      <c r="BV62" s="580"/>
      <c r="BW62" s="581"/>
      <c r="BX62" s="580"/>
      <c r="BY62" s="581"/>
      <c r="BZ62" s="486"/>
      <c r="CA62" s="306"/>
      <c r="CB62" s="487"/>
      <c r="CC62" s="560"/>
      <c r="CD62" s="561"/>
      <c r="CE62" s="561"/>
      <c r="CF62" s="561"/>
      <c r="CG62" s="561"/>
      <c r="CH62" s="561"/>
      <c r="CI62" s="561"/>
      <c r="CJ62" s="561"/>
      <c r="CK62" s="561"/>
      <c r="CL62" s="561"/>
      <c r="CM62" s="562"/>
      <c r="CN62" s="87"/>
      <c r="CO62" s="87"/>
      <c r="CP62" s="87"/>
      <c r="CQ62" s="87"/>
      <c r="CR62" s="87"/>
      <c r="CS62" s="87"/>
      <c r="CT62" s="87"/>
      <c r="CU62" s="87"/>
      <c r="CV62" s="87"/>
      <c r="CW62" s="87"/>
    </row>
    <row r="63" spans="1:108" s="75" customFormat="1" ht="25.65" customHeight="1">
      <c r="A63" s="486"/>
      <c r="B63" s="487"/>
      <c r="C63" s="563"/>
      <c r="D63" s="564"/>
      <c r="E63" s="564"/>
      <c r="F63" s="564"/>
      <c r="G63" s="564"/>
      <c r="H63" s="565"/>
      <c r="I63" s="554"/>
      <c r="J63" s="555"/>
      <c r="K63" s="555"/>
      <c r="L63" s="556"/>
      <c r="M63" s="551"/>
      <c r="N63" s="552"/>
      <c r="O63" s="552"/>
      <c r="P63" s="553"/>
      <c r="Q63" s="210"/>
      <c r="R63" s="551"/>
      <c r="S63" s="552"/>
      <c r="T63" s="552"/>
      <c r="U63" s="553"/>
      <c r="V63" s="551"/>
      <c r="W63" s="552"/>
      <c r="X63" s="553"/>
      <c r="Y63" s="171"/>
      <c r="Z63" s="557"/>
      <c r="AA63" s="558"/>
      <c r="AB63" s="559"/>
      <c r="AC63" s="209"/>
      <c r="AD63" s="209"/>
      <c r="AE63" s="209"/>
      <c r="AF63" s="171"/>
      <c r="AG63" s="577"/>
      <c r="AH63" s="578"/>
      <c r="AI63" s="578"/>
      <c r="AJ63" s="578"/>
      <c r="AK63" s="578"/>
      <c r="AL63" s="578"/>
      <c r="AM63" s="578"/>
      <c r="AN63" s="578"/>
      <c r="AO63" s="578"/>
      <c r="AP63" s="578"/>
      <c r="AQ63" s="579"/>
      <c r="AR63" s="577"/>
      <c r="AS63" s="578"/>
      <c r="AT63" s="578"/>
      <c r="AU63" s="578"/>
      <c r="AV63" s="578"/>
      <c r="AW63" s="578"/>
      <c r="AX63" s="578"/>
      <c r="AY63" s="578"/>
      <c r="AZ63" s="578"/>
      <c r="BA63" s="578"/>
      <c r="BB63" s="579"/>
      <c r="BC63" s="486"/>
      <c r="BD63" s="306"/>
      <c r="BE63" s="487"/>
      <c r="BF63" s="587"/>
      <c r="BG63" s="588"/>
      <c r="BH63" s="573"/>
      <c r="BI63" s="574"/>
      <c r="BJ63" s="587"/>
      <c r="BK63" s="588"/>
      <c r="BL63" s="573"/>
      <c r="BM63" s="574"/>
      <c r="BN63" s="566"/>
      <c r="BO63" s="306"/>
      <c r="BP63" s="306"/>
      <c r="BQ63" s="487"/>
      <c r="BR63" s="566"/>
      <c r="BS63" s="306"/>
      <c r="BT63" s="306"/>
      <c r="BU63" s="487"/>
      <c r="BV63" s="580"/>
      <c r="BW63" s="581"/>
      <c r="BX63" s="580"/>
      <c r="BY63" s="581"/>
      <c r="BZ63" s="486"/>
      <c r="CA63" s="306"/>
      <c r="CB63" s="487"/>
      <c r="CC63" s="560"/>
      <c r="CD63" s="561"/>
      <c r="CE63" s="561"/>
      <c r="CF63" s="561"/>
      <c r="CG63" s="561"/>
      <c r="CH63" s="561"/>
      <c r="CI63" s="561"/>
      <c r="CJ63" s="561"/>
      <c r="CK63" s="561"/>
      <c r="CL63" s="561"/>
      <c r="CM63" s="562"/>
      <c r="CN63" s="87"/>
      <c r="CO63" s="87"/>
      <c r="CP63" s="87"/>
      <c r="CQ63" s="87"/>
      <c r="CR63" s="87"/>
      <c r="CS63" s="87"/>
      <c r="CT63" s="87"/>
      <c r="CU63" s="87"/>
      <c r="CV63" s="87"/>
      <c r="CW63" s="87"/>
    </row>
    <row r="64" spans="1:108" s="118" customFormat="1" ht="12.75" customHeight="1">
      <c r="A64" s="309" t="s">
        <v>238</v>
      </c>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c r="AA64" s="305"/>
      <c r="AB64" s="305"/>
      <c r="AC64" s="305"/>
      <c r="AD64" s="305"/>
      <c r="AE64" s="305"/>
      <c r="AF64" s="305"/>
      <c r="AG64" s="305"/>
      <c r="AH64" s="305"/>
      <c r="AI64" s="305"/>
      <c r="AJ64" s="305"/>
      <c r="AK64" s="305"/>
      <c r="AL64" s="305"/>
      <c r="AM64" s="305"/>
      <c r="AN64" s="305"/>
      <c r="AO64" s="305"/>
      <c r="AP64" s="305"/>
      <c r="AQ64" s="305"/>
      <c r="AR64" s="305"/>
      <c r="AS64" s="305"/>
      <c r="AT64" s="305"/>
      <c r="AU64" s="305"/>
      <c r="AV64" s="305"/>
      <c r="AW64" s="305"/>
      <c r="AX64" s="305"/>
      <c r="AY64" s="305"/>
      <c r="AZ64" s="305"/>
      <c r="BA64" s="305"/>
      <c r="BB64" s="305"/>
      <c r="BC64" s="305"/>
      <c r="BD64" s="305"/>
      <c r="BE64" s="305"/>
      <c r="BF64" s="305"/>
      <c r="BG64" s="305"/>
      <c r="BH64" s="305"/>
      <c r="BI64" s="305"/>
      <c r="BJ64" s="305"/>
      <c r="BK64" s="305"/>
      <c r="BL64" s="305"/>
      <c r="BM64" s="305"/>
      <c r="BN64" s="305"/>
      <c r="BO64" s="305"/>
      <c r="BP64" s="305"/>
      <c r="BQ64" s="305"/>
      <c r="BR64" s="305"/>
      <c r="BS64" s="305"/>
      <c r="BT64" s="305"/>
      <c r="BU64" s="305"/>
      <c r="BV64" s="305"/>
      <c r="BW64" s="305"/>
      <c r="BX64" s="305"/>
      <c r="BY64" s="305"/>
      <c r="BZ64" s="305"/>
      <c r="CA64" s="305"/>
      <c r="CB64" s="305"/>
      <c r="CC64" s="305"/>
      <c r="CD64" s="305"/>
      <c r="CE64" s="305"/>
      <c r="CF64" s="305"/>
      <c r="CG64" s="305"/>
      <c r="CH64" s="305"/>
      <c r="CI64" s="305"/>
      <c r="CJ64" s="305"/>
      <c r="CK64" s="305"/>
      <c r="CL64" s="305"/>
      <c r="CM64" s="493"/>
      <c r="CN64" s="116"/>
      <c r="CO64" s="116"/>
      <c r="CP64" s="116"/>
      <c r="CQ64" s="116"/>
      <c r="CR64" s="116"/>
      <c r="CS64" s="116"/>
      <c r="CT64" s="116"/>
      <c r="CU64" s="116"/>
      <c r="CV64" s="116"/>
      <c r="CW64" s="116"/>
      <c r="CX64" s="116"/>
      <c r="CY64" s="116"/>
      <c r="CZ64" s="116"/>
      <c r="DA64" s="116"/>
      <c r="DB64" s="117"/>
      <c r="DC64" s="117"/>
      <c r="DD64" s="151"/>
    </row>
    <row r="65" spans="1:109" s="118" customFormat="1" ht="12.75" customHeight="1">
      <c r="A65" s="310" t="s">
        <v>239</v>
      </c>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1"/>
      <c r="AU65" s="311"/>
      <c r="AV65" s="311"/>
      <c r="AW65" s="311"/>
      <c r="AX65" s="311"/>
      <c r="AY65" s="311"/>
      <c r="AZ65" s="311"/>
      <c r="BA65" s="311"/>
      <c r="BB65" s="311"/>
      <c r="BC65" s="311"/>
      <c r="BD65" s="311"/>
      <c r="BE65" s="311"/>
      <c r="BF65" s="311"/>
      <c r="BG65" s="311"/>
      <c r="BH65" s="311"/>
      <c r="BI65" s="311"/>
      <c r="BJ65" s="311"/>
      <c r="BK65" s="311"/>
      <c r="BL65" s="311"/>
      <c r="BM65" s="311"/>
      <c r="BN65" s="311"/>
      <c r="BO65" s="311"/>
      <c r="BP65" s="311"/>
      <c r="BQ65" s="311"/>
      <c r="BR65" s="311"/>
      <c r="BS65" s="311"/>
      <c r="BT65" s="311"/>
      <c r="BU65" s="311"/>
      <c r="BV65" s="311"/>
      <c r="BW65" s="311"/>
      <c r="BX65" s="311"/>
      <c r="BY65" s="311"/>
      <c r="BZ65" s="311"/>
      <c r="CA65" s="311"/>
      <c r="CB65" s="311"/>
      <c r="CC65" s="311"/>
      <c r="CD65" s="311"/>
      <c r="CE65" s="311"/>
      <c r="CF65" s="311"/>
      <c r="CG65" s="311"/>
      <c r="CH65" s="311"/>
      <c r="CI65" s="311"/>
      <c r="CJ65" s="311"/>
      <c r="CK65" s="311"/>
      <c r="CL65" s="311"/>
      <c r="CM65" s="659"/>
      <c r="CN65" s="116"/>
      <c r="CO65" s="116"/>
      <c r="CP65" s="116"/>
      <c r="CQ65" s="116"/>
      <c r="CR65" s="116"/>
      <c r="CS65" s="116"/>
      <c r="CT65" s="116"/>
      <c r="CU65" s="116"/>
      <c r="CV65" s="116"/>
      <c r="CW65" s="116"/>
      <c r="CX65" s="116"/>
      <c r="CY65" s="116"/>
      <c r="CZ65" s="116"/>
      <c r="DA65" s="116"/>
      <c r="DB65" s="117"/>
      <c r="DC65" s="117"/>
      <c r="DD65" s="158"/>
    </row>
    <row r="66" spans="1:109" s="118" customFormat="1" ht="12.75" customHeight="1">
      <c r="A66" s="312"/>
      <c r="B66" s="313"/>
      <c r="C66" s="313"/>
      <c r="D66" s="313"/>
      <c r="E66" s="313"/>
      <c r="F66" s="313"/>
      <c r="G66" s="313"/>
      <c r="H66" s="313"/>
      <c r="I66" s="313"/>
      <c r="J66" s="313"/>
      <c r="K66" s="313"/>
      <c r="L66" s="313"/>
      <c r="M66" s="313"/>
      <c r="N66" s="313"/>
      <c r="O66" s="313"/>
      <c r="P66" s="313"/>
      <c r="Q66" s="313"/>
      <c r="R66" s="313"/>
      <c r="S66" s="313"/>
      <c r="T66" s="313"/>
      <c r="U66" s="313"/>
      <c r="V66" s="313"/>
      <c r="W66" s="313"/>
      <c r="X66" s="313"/>
      <c r="Y66" s="313"/>
      <c r="Z66" s="313"/>
      <c r="AA66" s="313"/>
      <c r="AB66" s="313"/>
      <c r="AC66" s="313"/>
      <c r="AD66" s="313"/>
      <c r="AE66" s="313"/>
      <c r="AF66" s="313"/>
      <c r="AG66" s="313"/>
      <c r="AH66" s="313"/>
      <c r="AI66" s="313"/>
      <c r="AJ66" s="313"/>
      <c r="AK66" s="313"/>
      <c r="AL66" s="313"/>
      <c r="AM66" s="313"/>
      <c r="AN66" s="313"/>
      <c r="AO66" s="313"/>
      <c r="AP66" s="313"/>
      <c r="AQ66" s="313"/>
      <c r="AR66" s="313"/>
      <c r="AS66" s="313"/>
      <c r="AT66" s="313"/>
      <c r="AU66" s="313"/>
      <c r="AV66" s="313"/>
      <c r="AW66" s="313"/>
      <c r="AX66" s="313"/>
      <c r="AY66" s="313"/>
      <c r="AZ66" s="313"/>
      <c r="BA66" s="313"/>
      <c r="BB66" s="313"/>
      <c r="BC66" s="313"/>
      <c r="BD66" s="313"/>
      <c r="BE66" s="313"/>
      <c r="BF66" s="313"/>
      <c r="BG66" s="313"/>
      <c r="BH66" s="313"/>
      <c r="BI66" s="313"/>
      <c r="BJ66" s="313"/>
      <c r="BK66" s="313"/>
      <c r="BL66" s="313"/>
      <c r="BM66" s="313"/>
      <c r="BN66" s="313"/>
      <c r="BO66" s="313"/>
      <c r="BP66" s="313"/>
      <c r="BQ66" s="313"/>
      <c r="BR66" s="313"/>
      <c r="BS66" s="313"/>
      <c r="BT66" s="313"/>
      <c r="BU66" s="313"/>
      <c r="BV66" s="313"/>
      <c r="BW66" s="313"/>
      <c r="BX66" s="313"/>
      <c r="BY66" s="313"/>
      <c r="BZ66" s="313"/>
      <c r="CA66" s="313"/>
      <c r="CB66" s="313"/>
      <c r="CC66" s="313"/>
      <c r="CD66" s="313"/>
      <c r="CE66" s="313"/>
      <c r="CF66" s="313"/>
      <c r="CG66" s="313"/>
      <c r="CH66" s="313"/>
      <c r="CI66" s="313"/>
      <c r="CJ66" s="313"/>
      <c r="CK66" s="313"/>
      <c r="CL66" s="313"/>
      <c r="CM66" s="660"/>
      <c r="CN66" s="116"/>
      <c r="CO66" s="116"/>
      <c r="CP66" s="116"/>
      <c r="CQ66" s="116"/>
      <c r="CR66" s="116"/>
      <c r="CS66" s="116"/>
      <c r="CT66" s="116"/>
      <c r="CU66" s="116"/>
      <c r="CV66" s="116"/>
      <c r="CW66" s="116"/>
      <c r="CX66" s="116"/>
      <c r="CY66" s="116"/>
      <c r="CZ66" s="116"/>
      <c r="DA66" s="116"/>
      <c r="DB66" s="117"/>
      <c r="DC66" s="117"/>
      <c r="DD66" s="117"/>
      <c r="DE66" s="157"/>
    </row>
    <row r="67" spans="1:109" s="118" customFormat="1" ht="12.75" customHeight="1">
      <c r="A67" s="312"/>
      <c r="B67" s="313"/>
      <c r="C67" s="313"/>
      <c r="D67" s="313"/>
      <c r="E67" s="313"/>
      <c r="F67" s="313"/>
      <c r="G67" s="313"/>
      <c r="H67" s="313"/>
      <c r="I67" s="313"/>
      <c r="J67" s="313"/>
      <c r="K67" s="313"/>
      <c r="L67" s="313"/>
      <c r="M67" s="313"/>
      <c r="N67" s="313"/>
      <c r="O67" s="313"/>
      <c r="P67" s="313"/>
      <c r="Q67" s="313"/>
      <c r="R67" s="313"/>
      <c r="S67" s="313"/>
      <c r="T67" s="313"/>
      <c r="U67" s="313"/>
      <c r="V67" s="313"/>
      <c r="W67" s="313"/>
      <c r="X67" s="313"/>
      <c r="Y67" s="313"/>
      <c r="Z67" s="313"/>
      <c r="AA67" s="313"/>
      <c r="AB67" s="313"/>
      <c r="AC67" s="313"/>
      <c r="AD67" s="313"/>
      <c r="AE67" s="313"/>
      <c r="AF67" s="313"/>
      <c r="AG67" s="313"/>
      <c r="AH67" s="313"/>
      <c r="AI67" s="313"/>
      <c r="AJ67" s="313"/>
      <c r="AK67" s="313"/>
      <c r="AL67" s="313"/>
      <c r="AM67" s="313"/>
      <c r="AN67" s="313"/>
      <c r="AO67" s="313"/>
      <c r="AP67" s="313"/>
      <c r="AQ67" s="313"/>
      <c r="AR67" s="313"/>
      <c r="AS67" s="313"/>
      <c r="AT67" s="313"/>
      <c r="AU67" s="313"/>
      <c r="AV67" s="313"/>
      <c r="AW67" s="313"/>
      <c r="AX67" s="313"/>
      <c r="AY67" s="313"/>
      <c r="AZ67" s="313"/>
      <c r="BA67" s="313"/>
      <c r="BB67" s="313"/>
      <c r="BC67" s="313"/>
      <c r="BD67" s="313"/>
      <c r="BE67" s="313"/>
      <c r="BF67" s="313"/>
      <c r="BG67" s="313"/>
      <c r="BH67" s="313"/>
      <c r="BI67" s="313"/>
      <c r="BJ67" s="313"/>
      <c r="BK67" s="313"/>
      <c r="BL67" s="313"/>
      <c r="BM67" s="313"/>
      <c r="BN67" s="313"/>
      <c r="BO67" s="313"/>
      <c r="BP67" s="313"/>
      <c r="BQ67" s="313"/>
      <c r="BR67" s="313"/>
      <c r="BS67" s="313"/>
      <c r="BT67" s="313"/>
      <c r="BU67" s="313"/>
      <c r="BV67" s="313"/>
      <c r="BW67" s="313"/>
      <c r="BX67" s="313"/>
      <c r="BY67" s="313"/>
      <c r="BZ67" s="313"/>
      <c r="CA67" s="313"/>
      <c r="CB67" s="313"/>
      <c r="CC67" s="313"/>
      <c r="CD67" s="313"/>
      <c r="CE67" s="313"/>
      <c r="CF67" s="313"/>
      <c r="CG67" s="313"/>
      <c r="CH67" s="313"/>
      <c r="CI67" s="313"/>
      <c r="CJ67" s="313"/>
      <c r="CK67" s="313"/>
      <c r="CL67" s="313"/>
      <c r="CM67" s="660"/>
      <c r="CN67" s="87"/>
      <c r="CO67" s="87"/>
      <c r="CP67" s="116"/>
      <c r="CQ67" s="116"/>
      <c r="CR67" s="116"/>
      <c r="CS67" s="116"/>
      <c r="CT67" s="116"/>
      <c r="CU67" s="116"/>
      <c r="CV67" s="116"/>
      <c r="CW67" s="116"/>
      <c r="CX67" s="116"/>
      <c r="CY67" s="116"/>
      <c r="CZ67" s="116"/>
      <c r="DA67" s="116"/>
      <c r="DB67" s="117"/>
      <c r="DC67" s="117"/>
      <c r="DD67" s="117"/>
      <c r="DE67" s="157"/>
    </row>
    <row r="68" spans="1:109" s="75" customFormat="1" ht="12.75" customHeight="1">
      <c r="A68" s="314"/>
      <c r="B68" s="661"/>
      <c r="C68" s="317" t="s">
        <v>213</v>
      </c>
      <c r="D68" s="318"/>
      <c r="E68" s="318"/>
      <c r="F68" s="318"/>
      <c r="G68" s="318"/>
      <c r="H68" s="318"/>
      <c r="I68" s="318"/>
      <c r="J68" s="318"/>
      <c r="K68" s="318"/>
      <c r="L68" s="318"/>
      <c r="M68" s="318"/>
      <c r="N68" s="318"/>
      <c r="O68" s="318"/>
      <c r="P68" s="318"/>
      <c r="Q68" s="318"/>
      <c r="R68" s="318"/>
      <c r="S68" s="318"/>
      <c r="T68" s="318"/>
      <c r="U68" s="318"/>
      <c r="V68" s="318"/>
      <c r="W68" s="318"/>
      <c r="X68" s="318"/>
      <c r="Y68" s="318"/>
      <c r="Z68" s="318"/>
      <c r="AA68" s="318"/>
      <c r="AB68" s="318"/>
      <c r="AC68" s="318"/>
      <c r="AD68" s="318"/>
      <c r="AE68" s="318"/>
      <c r="AF68" s="318"/>
      <c r="AG68" s="318"/>
      <c r="AH68" s="318"/>
      <c r="AI68" s="318"/>
      <c r="AJ68" s="318"/>
      <c r="AK68" s="318"/>
      <c r="AL68" s="318"/>
      <c r="AM68" s="318"/>
      <c r="AN68" s="318"/>
      <c r="AO68" s="318"/>
      <c r="AP68" s="318"/>
      <c r="AQ68" s="318"/>
      <c r="AR68" s="318"/>
      <c r="AS68" s="318"/>
      <c r="AT68" s="318"/>
      <c r="AU68" s="318"/>
      <c r="AV68" s="318"/>
      <c r="AW68" s="318"/>
      <c r="AX68" s="318"/>
      <c r="AY68" s="318"/>
      <c r="AZ68" s="318"/>
      <c r="BA68" s="318"/>
      <c r="BB68" s="318"/>
      <c r="BC68" s="318"/>
      <c r="BD68" s="318"/>
      <c r="BE68" s="318"/>
      <c r="BF68" s="318"/>
      <c r="BG68" s="318"/>
      <c r="BH68" s="318"/>
      <c r="BI68" s="318"/>
      <c r="BJ68" s="318"/>
      <c r="BK68" s="318"/>
      <c r="BL68" s="318"/>
      <c r="BM68" s="318"/>
      <c r="BN68" s="318"/>
      <c r="BO68" s="318"/>
      <c r="BP68" s="318"/>
      <c r="BQ68" s="318"/>
      <c r="BR68" s="318"/>
      <c r="BS68" s="318"/>
      <c r="BT68" s="318"/>
      <c r="BU68" s="318"/>
      <c r="BV68" s="318"/>
      <c r="BW68" s="318"/>
      <c r="BX68" s="318"/>
      <c r="BY68" s="318"/>
      <c r="BZ68" s="318"/>
      <c r="CA68" s="318"/>
      <c r="CB68" s="318"/>
      <c r="CC68" s="318"/>
      <c r="CD68" s="318"/>
      <c r="CE68" s="318"/>
      <c r="CF68" s="318"/>
      <c r="CG68" s="318"/>
      <c r="CH68" s="318"/>
      <c r="CI68" s="318"/>
      <c r="CJ68" s="318"/>
      <c r="CK68" s="318"/>
      <c r="CL68" s="318"/>
      <c r="CM68" s="664"/>
      <c r="CN68" s="87"/>
      <c r="CO68" s="87"/>
      <c r="CP68" s="87"/>
      <c r="CQ68" s="87"/>
      <c r="CR68" s="87"/>
      <c r="CS68" s="87"/>
      <c r="CT68" s="87"/>
      <c r="CU68" s="87"/>
      <c r="CV68" s="87"/>
      <c r="CW68" s="87"/>
      <c r="CX68" s="87"/>
      <c r="CY68" s="87"/>
      <c r="CZ68" s="87"/>
      <c r="DA68" s="87"/>
      <c r="DB68" s="109"/>
      <c r="DC68" s="109"/>
      <c r="DD68" s="110"/>
    </row>
    <row r="69" spans="1:109" s="75" customFormat="1" ht="10.199999999999999">
      <c r="A69" s="315"/>
      <c r="B69" s="662"/>
      <c r="C69" s="319" t="s">
        <v>124</v>
      </c>
      <c r="D69" s="320"/>
      <c r="E69" s="320"/>
      <c r="F69" s="320"/>
      <c r="G69" s="320"/>
      <c r="H69" s="320"/>
      <c r="I69" s="320"/>
      <c r="J69" s="320"/>
      <c r="K69" s="320"/>
      <c r="L69" s="320"/>
      <c r="M69" s="320"/>
      <c r="N69" s="320"/>
      <c r="O69" s="320"/>
      <c r="P69" s="320"/>
      <c r="Q69" s="320"/>
      <c r="R69" s="320"/>
      <c r="S69" s="320"/>
      <c r="T69" s="320"/>
      <c r="U69" s="320"/>
      <c r="V69" s="320"/>
      <c r="W69" s="320"/>
      <c r="X69" s="320"/>
      <c r="Y69" s="320"/>
      <c r="Z69" s="320"/>
      <c r="AA69" s="320"/>
      <c r="AB69" s="320"/>
      <c r="AC69" s="320"/>
      <c r="AD69" s="320"/>
      <c r="AE69" s="320"/>
      <c r="AF69" s="320"/>
      <c r="AG69" s="320"/>
      <c r="AH69" s="320"/>
      <c r="AI69" s="320"/>
      <c r="AJ69" s="320"/>
      <c r="AK69" s="320"/>
      <c r="AL69" s="320"/>
      <c r="AM69" s="320"/>
      <c r="AN69" s="320"/>
      <c r="AO69" s="320"/>
      <c r="AP69" s="320"/>
      <c r="AQ69" s="320"/>
      <c r="AR69" s="320"/>
      <c r="AS69" s="320"/>
      <c r="AT69" s="320"/>
      <c r="AU69" s="320"/>
      <c r="AV69" s="320"/>
      <c r="AW69" s="320"/>
      <c r="AX69" s="320"/>
      <c r="AY69" s="320"/>
      <c r="AZ69" s="320"/>
      <c r="BA69" s="320"/>
      <c r="BB69" s="320"/>
      <c r="BC69" s="320"/>
      <c r="BD69" s="320"/>
      <c r="BE69" s="320"/>
      <c r="BF69" s="320"/>
      <c r="BG69" s="320"/>
      <c r="BH69" s="320"/>
      <c r="BI69" s="320"/>
      <c r="BJ69" s="320"/>
      <c r="BK69" s="320"/>
      <c r="BL69" s="320"/>
      <c r="BM69" s="320"/>
      <c r="BN69" s="320"/>
      <c r="BO69" s="320"/>
      <c r="BP69" s="320"/>
      <c r="BQ69" s="320"/>
      <c r="BR69" s="320"/>
      <c r="BS69" s="320"/>
      <c r="BT69" s="320"/>
      <c r="BU69" s="320"/>
      <c r="BV69" s="320"/>
      <c r="BW69" s="320"/>
      <c r="BX69" s="320"/>
      <c r="BY69" s="320"/>
      <c r="BZ69" s="320"/>
      <c r="CA69" s="320"/>
      <c r="CB69" s="320"/>
      <c r="CC69" s="320"/>
      <c r="CD69" s="320"/>
      <c r="CE69" s="320"/>
      <c r="CF69" s="320"/>
      <c r="CG69" s="320"/>
      <c r="CH69" s="320"/>
      <c r="CI69" s="320"/>
      <c r="CJ69" s="320"/>
      <c r="CK69" s="320"/>
      <c r="CL69" s="320"/>
      <c r="CM69" s="665"/>
      <c r="CN69" s="87"/>
      <c r="CO69" s="87"/>
      <c r="CP69" s="87"/>
      <c r="CQ69" s="87"/>
      <c r="CR69" s="87"/>
      <c r="CS69" s="87"/>
      <c r="CT69" s="87"/>
      <c r="CU69" s="87"/>
      <c r="CV69" s="87"/>
      <c r="CW69" s="87"/>
      <c r="CX69" s="87"/>
      <c r="CY69" s="87"/>
      <c r="CZ69" s="87"/>
      <c r="DA69" s="87"/>
      <c r="DB69" s="109"/>
      <c r="DC69" s="109"/>
      <c r="DD69" s="110"/>
    </row>
    <row r="70" spans="1:109" s="75" customFormat="1" ht="10.199999999999999">
      <c r="A70" s="316"/>
      <c r="B70" s="663"/>
      <c r="C70" s="319" t="s">
        <v>125</v>
      </c>
      <c r="D70" s="320"/>
      <c r="E70" s="320"/>
      <c r="F70" s="320"/>
      <c r="G70" s="320"/>
      <c r="H70" s="320"/>
      <c r="I70" s="320"/>
      <c r="J70" s="320"/>
      <c r="K70" s="320"/>
      <c r="L70" s="320"/>
      <c r="M70" s="320"/>
      <c r="N70" s="320"/>
      <c r="O70" s="320"/>
      <c r="P70" s="320"/>
      <c r="Q70" s="320"/>
      <c r="R70" s="320"/>
      <c r="S70" s="320"/>
      <c r="T70" s="320"/>
      <c r="U70" s="320"/>
      <c r="V70" s="320"/>
      <c r="W70" s="320"/>
      <c r="X70" s="320"/>
      <c r="Y70" s="320"/>
      <c r="Z70" s="320"/>
      <c r="AA70" s="320"/>
      <c r="AB70" s="320"/>
      <c r="AC70" s="320"/>
      <c r="AD70" s="320"/>
      <c r="AE70" s="320"/>
      <c r="AF70" s="320"/>
      <c r="AG70" s="320"/>
      <c r="AH70" s="320"/>
      <c r="AI70" s="320"/>
      <c r="AJ70" s="320"/>
      <c r="AK70" s="320"/>
      <c r="AL70" s="320"/>
      <c r="AM70" s="320"/>
      <c r="AN70" s="320"/>
      <c r="AO70" s="320"/>
      <c r="AP70" s="320"/>
      <c r="AQ70" s="320"/>
      <c r="AR70" s="320"/>
      <c r="AS70" s="320"/>
      <c r="AT70" s="320"/>
      <c r="AU70" s="320"/>
      <c r="AV70" s="320"/>
      <c r="AW70" s="320"/>
      <c r="AX70" s="320"/>
      <c r="AY70" s="320"/>
      <c r="AZ70" s="320"/>
      <c r="BA70" s="320"/>
      <c r="BB70" s="320"/>
      <c r="BC70" s="320"/>
      <c r="BD70" s="320"/>
      <c r="BE70" s="320"/>
      <c r="BF70" s="320"/>
      <c r="BG70" s="320"/>
      <c r="BH70" s="320"/>
      <c r="BI70" s="320"/>
      <c r="BJ70" s="320"/>
      <c r="BK70" s="320"/>
      <c r="BL70" s="320"/>
      <c r="BM70" s="320"/>
      <c r="BN70" s="320"/>
      <c r="BO70" s="320"/>
      <c r="BP70" s="320"/>
      <c r="BQ70" s="320"/>
      <c r="BR70" s="320"/>
      <c r="BS70" s="320"/>
      <c r="BT70" s="320"/>
      <c r="BU70" s="320"/>
      <c r="BV70" s="320"/>
      <c r="BW70" s="320"/>
      <c r="BX70" s="320"/>
      <c r="BY70" s="320"/>
      <c r="BZ70" s="320"/>
      <c r="CA70" s="320"/>
      <c r="CB70" s="320"/>
      <c r="CC70" s="320"/>
      <c r="CD70" s="320"/>
      <c r="CE70" s="320"/>
      <c r="CF70" s="320"/>
      <c r="CG70" s="320"/>
      <c r="CH70" s="320"/>
      <c r="CI70" s="320"/>
      <c r="CJ70" s="320"/>
      <c r="CK70" s="320"/>
      <c r="CL70" s="320"/>
      <c r="CM70" s="665"/>
      <c r="CN70" s="87"/>
      <c r="CO70" s="87"/>
      <c r="CP70" s="87"/>
      <c r="CQ70" s="87"/>
      <c r="CR70" s="87"/>
      <c r="CS70" s="87"/>
      <c r="CT70" s="87"/>
      <c r="CU70" s="87"/>
      <c r="CV70" s="87"/>
      <c r="CW70" s="87"/>
      <c r="CX70" s="87"/>
      <c r="CY70" s="87"/>
      <c r="CZ70" s="87"/>
      <c r="DA70" s="87"/>
      <c r="DB70" s="109"/>
      <c r="DC70" s="109"/>
      <c r="DD70" s="110"/>
    </row>
    <row r="71" spans="1:109" s="75" customFormat="1" ht="15" customHeight="1">
      <c r="A71" s="172"/>
      <c r="B71" s="1"/>
      <c r="C71" s="1"/>
      <c r="D71" s="1"/>
      <c r="E71" s="1"/>
      <c r="F71" s="1"/>
      <c r="G71" s="1"/>
      <c r="H71" s="1"/>
      <c r="I71" s="9"/>
      <c r="J71" s="9"/>
      <c r="K71" s="10"/>
      <c r="L71" s="102"/>
      <c r="M71" s="1"/>
      <c r="N71" s="1"/>
      <c r="O71" s="1"/>
      <c r="P71" s="1"/>
      <c r="Q71" s="1"/>
      <c r="R71" s="1"/>
      <c r="S71" s="1"/>
      <c r="T71" s="9"/>
      <c r="U71" s="9"/>
      <c r="V71" s="325" t="s">
        <v>126</v>
      </c>
      <c r="W71" s="325"/>
      <c r="X71" s="325"/>
      <c r="Y71" s="325"/>
      <c r="Z71" s="325"/>
      <c r="AA71" s="325"/>
      <c r="AB71" s="9"/>
      <c r="AC71" s="9"/>
      <c r="AD71" s="9"/>
      <c r="AE71" s="9"/>
      <c r="AF71" s="9"/>
      <c r="AG71" s="9"/>
      <c r="AH71" s="9"/>
      <c r="AI71" s="9"/>
      <c r="AJ71" s="9"/>
      <c r="AK71" s="9"/>
      <c r="AL71" s="9"/>
      <c r="AM71" s="9"/>
      <c r="AN71" s="9"/>
      <c r="AO71" s="9"/>
      <c r="AP71" s="9"/>
      <c r="AQ71" s="10"/>
      <c r="AR71" s="486" t="s">
        <v>127</v>
      </c>
      <c r="AS71" s="487"/>
      <c r="AT71" s="486" t="s">
        <v>27</v>
      </c>
      <c r="AU71" s="306"/>
      <c r="AV71" s="306"/>
      <c r="AW71" s="487"/>
      <c r="AX71" s="486" t="s">
        <v>128</v>
      </c>
      <c r="AY71" s="306"/>
      <c r="AZ71" s="487"/>
      <c r="BA71" s="486" t="s">
        <v>129</v>
      </c>
      <c r="BB71" s="306"/>
      <c r="BC71" s="306"/>
      <c r="BD71" s="306"/>
      <c r="BE71" s="306"/>
      <c r="BF71" s="306"/>
      <c r="BG71" s="306"/>
      <c r="BH71" s="306"/>
      <c r="BI71" s="487"/>
      <c r="BJ71" s="486" t="s">
        <v>130</v>
      </c>
      <c r="BK71" s="306"/>
      <c r="BL71" s="306"/>
      <c r="BM71" s="487"/>
      <c r="BN71" s="321" t="s">
        <v>132</v>
      </c>
      <c r="BO71" s="322"/>
      <c r="BP71" s="322"/>
      <c r="BQ71" s="322"/>
      <c r="BR71" s="322"/>
      <c r="BS71" s="9"/>
      <c r="BT71" s="9"/>
      <c r="BU71" s="9"/>
      <c r="BV71" s="9"/>
      <c r="BW71" s="9"/>
      <c r="BX71" s="9"/>
      <c r="BY71" s="9"/>
      <c r="BZ71" s="9"/>
      <c r="CA71" s="9"/>
      <c r="CB71" s="9"/>
      <c r="CC71" s="10"/>
      <c r="CD71" s="494" t="s">
        <v>128</v>
      </c>
      <c r="CE71" s="495"/>
      <c r="CF71" s="495"/>
      <c r="CG71" s="496"/>
      <c r="CH71" s="497" t="str">
        <f>$AX72</f>
        <v>ST</v>
      </c>
      <c r="CI71" s="498"/>
      <c r="CJ71" s="529"/>
      <c r="CK71" s="497" t="e" vm="1">
        <v>#VALUE!</v>
      </c>
      <c r="CL71" s="498"/>
      <c r="CM71" s="529"/>
      <c r="CN71"/>
      <c r="CO71"/>
      <c r="CP71" s="87"/>
      <c r="CQ71" s="87"/>
      <c r="CR71" s="87"/>
      <c r="CS71" s="87"/>
      <c r="CT71" s="87"/>
      <c r="CU71" s="87"/>
      <c r="CV71" s="87"/>
      <c r="CW71" s="87"/>
      <c r="CX71" s="87"/>
      <c r="CY71" s="87"/>
      <c r="CZ71" s="87"/>
      <c r="DA71" s="87"/>
      <c r="DB71" s="109"/>
      <c r="DC71" s="109"/>
      <c r="DD71" s="110"/>
    </row>
    <row r="72" spans="1:109" s="76" customFormat="1" ht="12.75" customHeight="1">
      <c r="A72" s="173"/>
      <c r="B72" s="2"/>
      <c r="C72" s="2"/>
      <c r="D72" s="2"/>
      <c r="E72" s="2"/>
      <c r="F72" s="2"/>
      <c r="G72" s="2"/>
      <c r="H72" s="2"/>
      <c r="I72" s="12"/>
      <c r="J72" s="12"/>
      <c r="K72" s="13"/>
      <c r="L72" s="11"/>
      <c r="M72" s="2"/>
      <c r="N72" s="2"/>
      <c r="O72" s="2"/>
      <c r="P72" s="2"/>
      <c r="Q72" s="2"/>
      <c r="R72" s="2"/>
      <c r="S72" s="2"/>
      <c r="T72" s="12"/>
      <c r="U72" s="12"/>
      <c r="V72" s="326"/>
      <c r="W72" s="326"/>
      <c r="X72" s="326"/>
      <c r="Y72" s="326"/>
      <c r="Z72" s="326"/>
      <c r="AA72" s="326"/>
      <c r="AB72" s="100"/>
      <c r="AC72" s="100"/>
      <c r="AD72" s="100"/>
      <c r="AE72" s="100"/>
      <c r="AF72" s="100"/>
      <c r="AG72" s="12"/>
      <c r="AH72" s="12"/>
      <c r="AI72" s="12"/>
      <c r="AJ72" s="12"/>
      <c r="AK72" s="12"/>
      <c r="AL72" s="12"/>
      <c r="AM72" s="12"/>
      <c r="AN72" s="12"/>
      <c r="AO72" s="12"/>
      <c r="AP72" s="12"/>
      <c r="AQ72" s="13"/>
      <c r="AR72" s="486">
        <v>0</v>
      </c>
      <c r="AS72" s="487"/>
      <c r="AT72" s="490">
        <v>46231</v>
      </c>
      <c r="AU72" s="491"/>
      <c r="AV72" s="491"/>
      <c r="AW72" s="492"/>
      <c r="AX72" s="486" t="s">
        <v>41</v>
      </c>
      <c r="AY72" s="306"/>
      <c r="AZ72" s="487"/>
      <c r="BA72" s="486" t="s">
        <v>347</v>
      </c>
      <c r="BB72" s="306"/>
      <c r="BC72" s="306"/>
      <c r="BD72" s="306"/>
      <c r="BE72" s="306"/>
      <c r="BF72" s="306"/>
      <c r="BG72" s="306"/>
      <c r="BH72" s="306"/>
      <c r="BI72" s="487"/>
      <c r="BJ72" s="486" t="s">
        <v>345</v>
      </c>
      <c r="BK72" s="306"/>
      <c r="BL72" s="306"/>
      <c r="BM72" s="487"/>
      <c r="BN72" s="323"/>
      <c r="BO72" s="324"/>
      <c r="BP72" s="324"/>
      <c r="BQ72" s="324"/>
      <c r="BR72" s="324"/>
      <c r="BS72" s="12"/>
      <c r="BT72" s="12"/>
      <c r="BU72" s="12"/>
      <c r="BV72" s="12"/>
      <c r="BW72" s="12"/>
      <c r="BX72" s="12"/>
      <c r="BY72" s="12"/>
      <c r="BZ72" s="12"/>
      <c r="CA72" s="12"/>
      <c r="CB72" s="12"/>
      <c r="CC72" s="13"/>
      <c r="CD72" s="494" t="s">
        <v>130</v>
      </c>
      <c r="CE72" s="495"/>
      <c r="CF72" s="495"/>
      <c r="CG72" s="496"/>
      <c r="CH72" s="486" t="str">
        <f>$BJ72</f>
        <v>SV</v>
      </c>
      <c r="CI72" s="306"/>
      <c r="CJ72" s="487"/>
      <c r="CK72" s="497" t="e" vm="2">
        <v>#VALUE!</v>
      </c>
      <c r="CL72" s="498"/>
      <c r="CM72" s="529"/>
      <c r="CN72"/>
      <c r="CO72"/>
      <c r="CP72"/>
      <c r="CQ72"/>
      <c r="CR72"/>
      <c r="CS72"/>
      <c r="CT72"/>
      <c r="CU72"/>
      <c r="CV72"/>
      <c r="CW72"/>
      <c r="CX72"/>
      <c r="CY72" s="87"/>
      <c r="CZ72" s="87"/>
      <c r="DA72" s="87"/>
      <c r="DB72" s="109"/>
      <c r="DC72" s="109"/>
      <c r="DD72" s="106"/>
    </row>
    <row r="73" spans="1:109" s="76" customFormat="1" ht="12.75" customHeight="1">
      <c r="A73" s="173"/>
      <c r="B73" s="2"/>
      <c r="C73" s="2"/>
      <c r="D73" s="2"/>
      <c r="E73" s="2"/>
      <c r="F73" s="2"/>
      <c r="G73" s="2"/>
      <c r="H73" s="2"/>
      <c r="I73" s="12"/>
      <c r="J73" s="12"/>
      <c r="K73" s="13"/>
      <c r="L73" s="11"/>
      <c r="M73" s="2"/>
      <c r="N73" s="2"/>
      <c r="O73" s="2"/>
      <c r="P73" s="2"/>
      <c r="Q73" s="2"/>
      <c r="R73" s="2"/>
      <c r="S73" s="2"/>
      <c r="T73" s="12"/>
      <c r="U73" s="12"/>
      <c r="V73" s="12"/>
      <c r="W73" s="12"/>
      <c r="X73" s="308" t="s">
        <v>346</v>
      </c>
      <c r="Y73" s="308"/>
      <c r="Z73" s="308"/>
      <c r="AA73" s="308"/>
      <c r="AB73" s="308"/>
      <c r="AC73" s="308"/>
      <c r="AD73" s="308"/>
      <c r="AE73" s="308"/>
      <c r="AF73" s="308"/>
      <c r="AG73" s="308"/>
      <c r="AH73" s="308"/>
      <c r="AI73" s="308"/>
      <c r="AJ73" s="308"/>
      <c r="AK73" s="308"/>
      <c r="AL73" s="308"/>
      <c r="AM73" s="308"/>
      <c r="AN73" s="308"/>
      <c r="AO73" s="308"/>
      <c r="AP73" s="308"/>
      <c r="AQ73" s="13"/>
      <c r="AR73" s="486"/>
      <c r="AS73" s="487"/>
      <c r="AT73" s="490"/>
      <c r="AU73" s="491"/>
      <c r="AV73" s="491"/>
      <c r="AW73" s="492"/>
      <c r="AX73" s="486"/>
      <c r="AY73" s="306"/>
      <c r="AZ73" s="487"/>
      <c r="BA73" s="486"/>
      <c r="BB73" s="306"/>
      <c r="BC73" s="306"/>
      <c r="BD73" s="306"/>
      <c r="BE73" s="306"/>
      <c r="BF73" s="306"/>
      <c r="BG73" s="306"/>
      <c r="BH73" s="306"/>
      <c r="BI73" s="487"/>
      <c r="BJ73" s="486"/>
      <c r="BK73" s="306"/>
      <c r="BL73" s="306"/>
      <c r="BM73" s="487"/>
      <c r="BN73" s="94"/>
      <c r="BO73" s="104"/>
      <c r="BP73" s="153" t="s">
        <v>4</v>
      </c>
      <c r="BQ73" s="12"/>
      <c r="BR73" s="12"/>
      <c r="BS73" s="12"/>
      <c r="BT73" s="12"/>
      <c r="BU73" s="153"/>
      <c r="BV73" s="12"/>
      <c r="BW73" s="12"/>
      <c r="BX73" s="12"/>
      <c r="BY73" s="12"/>
      <c r="BZ73" s="12"/>
      <c r="CA73" s="12"/>
      <c r="CB73" s="12"/>
      <c r="CC73" s="13"/>
      <c r="CD73" s="494" t="s">
        <v>131</v>
      </c>
      <c r="CE73" s="495"/>
      <c r="CF73" s="495"/>
      <c r="CG73" s="496"/>
      <c r="CH73" s="486" t="e">
        <f>#REF!</f>
        <v>#REF!</v>
      </c>
      <c r="CI73" s="306"/>
      <c r="CJ73" s="487"/>
      <c r="CK73" s="497" t="e" vm="3">
        <v>#VALUE!</v>
      </c>
      <c r="CL73" s="498"/>
      <c r="CM73" s="529"/>
      <c r="CN73"/>
      <c r="CO73"/>
      <c r="CP73"/>
      <c r="CQ73"/>
      <c r="CR73"/>
      <c r="CS73"/>
      <c r="CT73"/>
      <c r="CU73"/>
      <c r="CV73"/>
      <c r="CW73"/>
      <c r="CX73"/>
      <c r="CY73" s="87"/>
      <c r="CZ73" s="87"/>
      <c r="DA73" s="87"/>
      <c r="DB73" s="109"/>
      <c r="DC73" s="109"/>
      <c r="DD73" s="106"/>
    </row>
    <row r="74" spans="1:109" s="76" customFormat="1" ht="12.75" customHeight="1">
      <c r="A74" s="173"/>
      <c r="B74" s="2"/>
      <c r="C74" s="98" t="s">
        <v>209</v>
      </c>
      <c r="D74" s="2"/>
      <c r="E74" s="2"/>
      <c r="F74" s="103"/>
      <c r="G74" s="103"/>
      <c r="I74" s="88"/>
      <c r="J74" s="12"/>
      <c r="K74" s="13"/>
      <c r="L74" s="11"/>
      <c r="M74" s="79"/>
      <c r="N74" s="12"/>
      <c r="O74" s="88"/>
      <c r="P74" s="88"/>
      <c r="Q74" s="98"/>
      <c r="R74" s="88"/>
      <c r="S74" s="88"/>
      <c r="T74" s="88"/>
      <c r="U74" s="88"/>
      <c r="V74" s="12"/>
      <c r="W74" s="12"/>
      <c r="X74" s="103"/>
      <c r="Y74" s="103"/>
      <c r="Z74" s="12"/>
      <c r="AA74" s="12"/>
      <c r="AB74" s="103"/>
      <c r="AC74" s="103"/>
      <c r="AD74" s="103"/>
      <c r="AE74" s="103"/>
      <c r="AF74" s="103"/>
      <c r="AG74" s="101"/>
      <c r="AH74" s="103"/>
      <c r="AI74" s="101"/>
      <c r="AJ74" s="101"/>
      <c r="AK74" s="101"/>
      <c r="AL74" s="101"/>
      <c r="AM74" s="101"/>
      <c r="AN74" s="101"/>
      <c r="AO74" s="101"/>
      <c r="AP74" s="101"/>
      <c r="AQ74" s="13"/>
      <c r="AR74" s="486"/>
      <c r="AS74" s="487"/>
      <c r="AT74" s="490"/>
      <c r="AU74" s="491"/>
      <c r="AV74" s="491"/>
      <c r="AW74" s="492"/>
      <c r="AX74" s="486"/>
      <c r="AY74" s="306"/>
      <c r="AZ74" s="487"/>
      <c r="BA74" s="486"/>
      <c r="BB74" s="306"/>
      <c r="BC74" s="306"/>
      <c r="BD74" s="306"/>
      <c r="BE74" s="306"/>
      <c r="BF74" s="306"/>
      <c r="BG74" s="306"/>
      <c r="BH74" s="306"/>
      <c r="BI74" s="487"/>
      <c r="BJ74" s="486"/>
      <c r="BK74" s="306"/>
      <c r="BL74" s="306"/>
      <c r="BM74" s="487"/>
      <c r="BN74" s="94"/>
      <c r="BO74" s="104"/>
      <c r="BQ74" s="12"/>
      <c r="BR74" s="12"/>
      <c r="BS74" s="12"/>
      <c r="BT74" s="12"/>
      <c r="BU74" s="12"/>
      <c r="BV74" s="12"/>
      <c r="BW74" s="12"/>
      <c r="BX74" s="12"/>
      <c r="BY74" s="12"/>
      <c r="BZ74" s="12"/>
      <c r="CA74" s="12"/>
      <c r="CB74" s="12"/>
      <c r="CC74" s="13"/>
      <c r="CD74" s="653" t="s">
        <v>361</v>
      </c>
      <c r="CE74" s="654"/>
      <c r="CF74" s="654"/>
      <c r="CG74" s="654"/>
      <c r="CH74" s="654"/>
      <c r="CI74" s="654"/>
      <c r="CJ74" s="654"/>
      <c r="CK74" s="654"/>
      <c r="CL74" s="654"/>
      <c r="CM74" s="655"/>
      <c r="CN74"/>
      <c r="CO74"/>
      <c r="CP74"/>
      <c r="CQ74"/>
      <c r="CR74"/>
      <c r="CS74"/>
      <c r="CT74"/>
      <c r="CU74"/>
      <c r="CV74"/>
      <c r="CW74"/>
      <c r="CX74"/>
      <c r="CY74" s="87"/>
      <c r="CZ74" s="87"/>
      <c r="DA74" s="87"/>
      <c r="DB74" s="109"/>
      <c r="DC74" s="109"/>
      <c r="DD74" s="106"/>
    </row>
    <row r="75" spans="1:109" s="76" customFormat="1" ht="12.75" customHeight="1">
      <c r="A75" s="173"/>
      <c r="B75" s="2"/>
      <c r="C75" s="99" t="s">
        <v>210</v>
      </c>
      <c r="D75" s="2"/>
      <c r="E75" s="2"/>
      <c r="F75" s="103"/>
      <c r="G75" s="103"/>
      <c r="I75" s="88"/>
      <c r="J75" s="12"/>
      <c r="K75" s="13"/>
      <c r="L75" s="11"/>
      <c r="M75" s="88"/>
      <c r="N75" s="12"/>
      <c r="O75" s="88"/>
      <c r="P75" s="88"/>
      <c r="Q75" s="99"/>
      <c r="R75" s="88"/>
      <c r="S75" s="88"/>
      <c r="T75" s="88"/>
      <c r="U75" s="88"/>
      <c r="V75" s="12"/>
      <c r="W75" s="12"/>
      <c r="X75" s="103"/>
      <c r="Y75" s="103"/>
      <c r="Z75" s="12"/>
      <c r="AA75" s="12"/>
      <c r="AB75" s="103"/>
      <c r="AC75" s="103"/>
      <c r="AD75" s="103"/>
      <c r="AE75" s="103"/>
      <c r="AF75" s="103"/>
      <c r="AG75" s="88"/>
      <c r="AH75" s="103"/>
      <c r="AI75" s="88"/>
      <c r="AJ75" s="88"/>
      <c r="AK75" s="88"/>
      <c r="AL75" s="88"/>
      <c r="AM75" s="88"/>
      <c r="AN75" s="88"/>
      <c r="AO75" s="88"/>
      <c r="AP75" s="88"/>
      <c r="AQ75" s="13"/>
      <c r="AR75" s="486"/>
      <c r="AS75" s="487"/>
      <c r="AT75" s="486"/>
      <c r="AU75" s="306"/>
      <c r="AV75" s="306"/>
      <c r="AW75" s="487"/>
      <c r="AX75" s="486"/>
      <c r="AY75" s="306"/>
      <c r="AZ75" s="487"/>
      <c r="BA75" s="309"/>
      <c r="BB75" s="305"/>
      <c r="BC75" s="305"/>
      <c r="BD75" s="305"/>
      <c r="BE75" s="305"/>
      <c r="BF75" s="305"/>
      <c r="BG75" s="305"/>
      <c r="BH75" s="305"/>
      <c r="BI75" s="493"/>
      <c r="BJ75" s="486"/>
      <c r="BK75" s="306"/>
      <c r="BL75" s="306"/>
      <c r="BM75" s="487"/>
      <c r="BN75" s="67"/>
      <c r="BO75" s="68"/>
      <c r="BP75" s="68"/>
      <c r="BQ75" s="68"/>
      <c r="BR75" s="68"/>
      <c r="BS75" s="68"/>
      <c r="BT75" s="68"/>
      <c r="BU75" s="68"/>
      <c r="BV75" s="68"/>
      <c r="BW75" s="68"/>
      <c r="BX75" s="68"/>
      <c r="BY75" s="68"/>
      <c r="BZ75" s="68"/>
      <c r="CA75" s="68"/>
      <c r="CB75" s="68"/>
      <c r="CC75" s="69"/>
      <c r="CD75" s="656"/>
      <c r="CE75" s="657"/>
      <c r="CF75" s="657"/>
      <c r="CG75" s="657"/>
      <c r="CH75" s="657"/>
      <c r="CI75" s="657"/>
      <c r="CJ75" s="657"/>
      <c r="CK75" s="657"/>
      <c r="CL75" s="657"/>
      <c r="CM75" s="658"/>
      <c r="CN75"/>
      <c r="CO75"/>
      <c r="CP75"/>
      <c r="CQ75"/>
      <c r="CR75"/>
      <c r="CS75"/>
      <c r="CT75"/>
      <c r="CU75"/>
      <c r="CV75"/>
      <c r="CW75"/>
      <c r="CX75"/>
      <c r="CY75" s="87"/>
      <c r="CZ75" s="87"/>
      <c r="DA75" s="87"/>
      <c r="DB75" s="109"/>
      <c r="DC75" s="109"/>
      <c r="DD75" s="106"/>
    </row>
    <row r="76" spans="1:109" s="76" customFormat="1" ht="12.75" customHeight="1">
      <c r="A76" s="173"/>
      <c r="B76" s="2"/>
      <c r="C76" s="99" t="s">
        <v>211</v>
      </c>
      <c r="D76" s="2"/>
      <c r="E76" s="2"/>
      <c r="F76" s="103"/>
      <c r="G76" s="103"/>
      <c r="I76" s="79"/>
      <c r="J76" s="12"/>
      <c r="K76" s="13"/>
      <c r="L76" s="11"/>
      <c r="M76" s="88"/>
      <c r="N76" s="12"/>
      <c r="O76" s="79"/>
      <c r="P76" s="79"/>
      <c r="Q76" s="99"/>
      <c r="R76" s="79"/>
      <c r="S76" s="79"/>
      <c r="T76" s="79"/>
      <c r="U76" s="79"/>
      <c r="V76" s="12"/>
      <c r="W76" s="12"/>
      <c r="X76" s="12"/>
      <c r="Y76" s="12"/>
      <c r="Z76" s="12"/>
      <c r="AA76" s="12"/>
      <c r="AB76" s="103"/>
      <c r="AC76" s="103"/>
      <c r="AD76" s="103"/>
      <c r="AE76" s="103"/>
      <c r="AF76" s="103"/>
      <c r="AG76" s="88"/>
      <c r="AH76" s="103"/>
      <c r="AI76" s="79"/>
      <c r="AJ76" s="79"/>
      <c r="AK76" s="79"/>
      <c r="AL76" s="79"/>
      <c r="AM76" s="79"/>
      <c r="AN76" s="79"/>
      <c r="AO76" s="79"/>
      <c r="AP76" s="12"/>
      <c r="AQ76" s="13"/>
      <c r="AR76" s="486"/>
      <c r="AS76" s="487"/>
      <c r="AT76" s="486"/>
      <c r="AU76" s="306"/>
      <c r="AV76" s="306"/>
      <c r="AW76" s="487"/>
      <c r="AX76" s="486"/>
      <c r="AY76" s="306"/>
      <c r="AZ76" s="487"/>
      <c r="BA76" s="309"/>
      <c r="BB76" s="305"/>
      <c r="BC76" s="305"/>
      <c r="BD76" s="305"/>
      <c r="BE76" s="305"/>
      <c r="BF76" s="305"/>
      <c r="BG76" s="305"/>
      <c r="BH76" s="305"/>
      <c r="BI76" s="493"/>
      <c r="BJ76" s="486"/>
      <c r="BK76" s="306"/>
      <c r="BL76" s="306"/>
      <c r="BM76" s="487"/>
      <c r="BN76" s="95" t="s">
        <v>26</v>
      </c>
      <c r="BO76" s="96"/>
      <c r="BP76" s="96"/>
      <c r="BQ76" s="96"/>
      <c r="BR76" s="96"/>
      <c r="BS76" s="96"/>
      <c r="BT76" s="96"/>
      <c r="BU76" s="96"/>
      <c r="BV76" s="96"/>
      <c r="BW76" s="96"/>
      <c r="BX76" s="96"/>
      <c r="BY76" s="96"/>
      <c r="BZ76" s="96"/>
      <c r="CA76" s="96"/>
      <c r="CB76" s="96"/>
      <c r="CC76" s="97"/>
      <c r="CD76" s="506" t="s">
        <v>133</v>
      </c>
      <c r="CE76" s="507"/>
      <c r="CF76" s="507"/>
      <c r="CG76" s="508"/>
      <c r="CH76" s="506" t="s">
        <v>134</v>
      </c>
      <c r="CI76" s="507"/>
      <c r="CJ76" s="508"/>
      <c r="CK76" s="506" t="s">
        <v>127</v>
      </c>
      <c r="CL76" s="507"/>
      <c r="CM76" s="508"/>
      <c r="CN76"/>
      <c r="CO76"/>
      <c r="CP76"/>
      <c r="CQ76"/>
      <c r="CR76"/>
      <c r="CS76"/>
      <c r="CT76"/>
      <c r="CU76"/>
      <c r="CV76"/>
      <c r="CW76"/>
      <c r="CX76"/>
      <c r="CY76"/>
      <c r="CZ76"/>
      <c r="DA76"/>
      <c r="DB76" s="106"/>
      <c r="DC76" s="106"/>
      <c r="DD76" s="106"/>
    </row>
    <row r="77" spans="1:109" s="76" customFormat="1" ht="12.75" customHeight="1">
      <c r="A77" s="173"/>
      <c r="B77" s="2"/>
      <c r="C77" s="99" t="s">
        <v>212</v>
      </c>
      <c r="D77" s="2"/>
      <c r="E77" s="2"/>
      <c r="F77" s="103"/>
      <c r="G77" s="103"/>
      <c r="I77" s="79"/>
      <c r="J77" s="12"/>
      <c r="K77" s="13"/>
      <c r="L77" s="11"/>
      <c r="M77" s="88"/>
      <c r="N77" s="12"/>
      <c r="O77" s="79"/>
      <c r="P77" s="79"/>
      <c r="Q77" s="99"/>
      <c r="R77" s="79"/>
      <c r="S77" s="79"/>
      <c r="T77" s="79"/>
      <c r="U77" s="79"/>
      <c r="V77" s="12"/>
      <c r="W77" s="12"/>
      <c r="X77" s="12"/>
      <c r="Y77" s="12"/>
      <c r="Z77" s="12"/>
      <c r="AA77" s="12"/>
      <c r="AB77" s="2"/>
      <c r="AC77" s="2"/>
      <c r="AD77" s="2"/>
      <c r="AE77" s="2"/>
      <c r="AF77" s="2"/>
      <c r="AG77" s="2"/>
      <c r="AH77" s="2"/>
      <c r="AI77" s="2"/>
      <c r="AJ77" s="2"/>
      <c r="AK77" s="2"/>
      <c r="AL77" s="2"/>
      <c r="AM77" s="2"/>
      <c r="AN77" s="2"/>
      <c r="AO77" s="2"/>
      <c r="AP77" s="2"/>
      <c r="AQ77" s="13"/>
      <c r="AR77" s="486"/>
      <c r="AS77" s="487"/>
      <c r="AT77" s="486"/>
      <c r="AU77" s="306"/>
      <c r="AV77" s="306"/>
      <c r="AW77" s="487"/>
      <c r="AX77" s="486"/>
      <c r="AY77" s="306"/>
      <c r="AZ77" s="487"/>
      <c r="BA77" s="309"/>
      <c r="BB77" s="305"/>
      <c r="BC77" s="305"/>
      <c r="BD77" s="305"/>
      <c r="BE77" s="305"/>
      <c r="BF77" s="305"/>
      <c r="BG77" s="305"/>
      <c r="BH77" s="305"/>
      <c r="BI77" s="493"/>
      <c r="BJ77" s="486"/>
      <c r="BK77" s="306"/>
      <c r="BL77" s="306"/>
      <c r="BM77" s="487"/>
      <c r="BN77" s="12"/>
      <c r="BO77" s="82" t="s">
        <v>360</v>
      </c>
      <c r="BP77" s="12"/>
      <c r="BQ77" s="12"/>
      <c r="BR77" s="12"/>
      <c r="BS77" s="12"/>
      <c r="BT77" s="12"/>
      <c r="BU77" s="12"/>
      <c r="BV77" s="12"/>
      <c r="BW77" s="12"/>
      <c r="BX77" s="12"/>
      <c r="BY77" s="12"/>
      <c r="BZ77" s="12"/>
      <c r="CA77" s="12"/>
      <c r="CB77" s="12"/>
      <c r="CC77" s="13"/>
      <c r="CD77" s="510" t="s">
        <v>135</v>
      </c>
      <c r="CE77" s="511"/>
      <c r="CF77" s="511"/>
      <c r="CG77" s="512"/>
      <c r="CH77" s="510" t="s">
        <v>8</v>
      </c>
      <c r="CI77" s="511"/>
      <c r="CJ77" s="512"/>
      <c r="CK77" s="652">
        <f>MAX('page 1'!B16)</f>
        <v>0</v>
      </c>
      <c r="CL77" s="511"/>
      <c r="CM77" s="512"/>
      <c r="CN77"/>
      <c r="CO77"/>
      <c r="CP77"/>
      <c r="CQ77"/>
      <c r="CR77"/>
      <c r="CS77"/>
      <c r="CT77"/>
      <c r="CU77"/>
      <c r="CV77"/>
      <c r="CW77"/>
      <c r="CX77"/>
      <c r="CY77"/>
      <c r="CZ77"/>
      <c r="DA77"/>
      <c r="DB77" s="106"/>
      <c r="DC77" s="106"/>
      <c r="DD77" s="106"/>
    </row>
    <row r="78" spans="1:109" s="76" customFormat="1" ht="12.75" customHeight="1">
      <c r="A78" s="174"/>
      <c r="B78" s="175"/>
      <c r="C78" s="175"/>
      <c r="D78" s="175"/>
      <c r="E78" s="175"/>
      <c r="F78" s="175"/>
      <c r="G78" s="175"/>
      <c r="H78" s="176"/>
      <c r="I78" s="68"/>
      <c r="J78" s="68"/>
      <c r="K78" s="69"/>
      <c r="L78" s="67"/>
      <c r="M78" s="176"/>
      <c r="N78" s="176"/>
      <c r="O78" s="176"/>
      <c r="P78" s="177"/>
      <c r="Q78" s="176"/>
      <c r="R78" s="175"/>
      <c r="S78" s="175"/>
      <c r="T78" s="68"/>
      <c r="U78" s="68"/>
      <c r="V78" s="68"/>
      <c r="W78" s="68"/>
      <c r="X78" s="68"/>
      <c r="Y78" s="68"/>
      <c r="Z78" s="68"/>
      <c r="AA78" s="68"/>
      <c r="AB78" s="175"/>
      <c r="AC78" s="175"/>
      <c r="AD78" s="175"/>
      <c r="AE78" s="175"/>
      <c r="AF78" s="175"/>
      <c r="AG78" s="175"/>
      <c r="AH78" s="175"/>
      <c r="AI78" s="175"/>
      <c r="AJ78" s="175"/>
      <c r="AK78" s="175"/>
      <c r="AL78" s="175"/>
      <c r="AM78" s="175"/>
      <c r="AN78" s="175"/>
      <c r="AO78" s="175"/>
      <c r="AP78" s="175"/>
      <c r="AQ78" s="69"/>
      <c r="AR78" s="486"/>
      <c r="AS78" s="487"/>
      <c r="AT78" s="486"/>
      <c r="AU78" s="306"/>
      <c r="AV78" s="306"/>
      <c r="AW78" s="487"/>
      <c r="AX78" s="486"/>
      <c r="AY78" s="306"/>
      <c r="AZ78" s="487"/>
      <c r="BA78" s="309"/>
      <c r="BB78" s="305"/>
      <c r="BC78" s="305"/>
      <c r="BD78" s="305"/>
      <c r="BE78" s="305"/>
      <c r="BF78" s="305"/>
      <c r="BG78" s="305"/>
      <c r="BH78" s="305"/>
      <c r="BI78" s="493"/>
      <c r="BJ78" s="486"/>
      <c r="BK78" s="306"/>
      <c r="BL78" s="306"/>
      <c r="BM78" s="487"/>
      <c r="BN78" s="68"/>
      <c r="BO78" s="68"/>
      <c r="BP78" s="68"/>
      <c r="BQ78" s="68"/>
      <c r="BR78" s="68"/>
      <c r="BS78" s="68"/>
      <c r="BT78" s="68"/>
      <c r="BU78" s="68"/>
      <c r="BV78" s="68"/>
      <c r="BW78" s="68"/>
      <c r="BX78" s="68"/>
      <c r="BY78" s="68"/>
      <c r="BZ78" s="68"/>
      <c r="CA78" s="68"/>
      <c r="CB78" s="68"/>
      <c r="CC78" s="69"/>
      <c r="CD78" s="644"/>
      <c r="CE78" s="645"/>
      <c r="CF78" s="645"/>
      <c r="CG78" s="646"/>
      <c r="CH78" s="644"/>
      <c r="CI78" s="645"/>
      <c r="CJ78" s="646"/>
      <c r="CK78" s="644"/>
      <c r="CL78" s="645"/>
      <c r="CM78" s="646"/>
      <c r="CN78"/>
      <c r="CO78"/>
      <c r="CP78"/>
      <c r="CQ78"/>
      <c r="CR78"/>
      <c r="CS78"/>
      <c r="CT78"/>
      <c r="CU78"/>
      <c r="CV78"/>
      <c r="CW78"/>
      <c r="CX78"/>
      <c r="CY78"/>
      <c r="CZ78"/>
      <c r="DA78"/>
      <c r="DB78" s="106"/>
      <c r="DC78" s="106"/>
      <c r="DD78" s="106"/>
    </row>
    <row r="79" spans="1:109" s="76" customFormat="1" ht="12.7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s="106"/>
      <c r="DC79" s="106"/>
      <c r="DD79" s="106"/>
    </row>
    <row r="80" spans="1:109" s="76" customFormat="1" ht="12.7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s="106"/>
      <c r="DC80" s="106"/>
      <c r="DD80" s="106"/>
    </row>
    <row r="81" spans="1:108" s="76" customFormat="1" ht="12.7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s="106"/>
      <c r="DC81" s="106"/>
      <c r="DD81" s="106"/>
    </row>
    <row r="82" spans="1:108" s="76" customFormat="1" ht="12.7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s="106"/>
      <c r="DC82" s="106"/>
      <c r="DD82" s="106"/>
    </row>
    <row r="83" spans="1:108" s="76" customFormat="1" ht="12.7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Z83"/>
      <c r="DA83"/>
      <c r="DB83" s="136"/>
      <c r="DC83" s="106"/>
      <c r="DD83" s="106"/>
    </row>
    <row r="84" spans="1:108" s="76" customFormat="1" ht="12.7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Z84"/>
      <c r="DA84"/>
      <c r="DB84" s="136"/>
      <c r="DC84" s="106"/>
      <c r="DD84" s="106"/>
    </row>
    <row r="85" spans="1:108" s="76" customFormat="1" ht="12.75" customHeight="1">
      <c r="A85"/>
      <c r="B85"/>
      <c r="C85"/>
      <c r="D85"/>
      <c r="E85" s="168"/>
      <c r="F85" s="168"/>
      <c r="G85" s="2"/>
      <c r="H85" s="2"/>
      <c r="I85" s="2"/>
      <c r="J85" s="2"/>
      <c r="K85" s="12"/>
      <c r="L85" s="12"/>
      <c r="M85" s="2"/>
      <c r="N85" s="2"/>
      <c r="O85" s="2"/>
      <c r="P85" s="2"/>
      <c r="Q85" s="2"/>
      <c r="R85" s="2"/>
      <c r="S85" s="2"/>
      <c r="T85" s="2"/>
      <c r="U85" s="2"/>
      <c r="V85" s="12"/>
      <c r="W85" s="12"/>
      <c r="X85" s="12"/>
      <c r="Y85" s="12"/>
      <c r="Z85" s="301"/>
      <c r="AA85" s="301"/>
      <c r="AB85" s="301"/>
      <c r="AC85" s="301"/>
      <c r="AD85" s="301"/>
      <c r="AE85" s="301"/>
      <c r="AF85" s="301"/>
      <c r="AG85" s="301"/>
      <c r="AH85" s="301"/>
      <c r="AI85" s="12"/>
      <c r="AJ85" s="12"/>
      <c r="AK85" s="12"/>
      <c r="AL85" s="12"/>
      <c r="AM85" s="12"/>
      <c r="AN85" s="12"/>
      <c r="AO85" s="12"/>
      <c r="AP85" s="12"/>
      <c r="AQ85" s="12"/>
      <c r="AR85" s="12"/>
      <c r="AS85" s="12"/>
      <c r="AT85" s="302"/>
      <c r="AU85" s="302"/>
      <c r="AV85" s="302"/>
      <c r="AW85" s="302"/>
      <c r="AX85" s="302"/>
      <c r="AY85" s="302"/>
      <c r="AZ85" s="302"/>
      <c r="BA85" s="302"/>
      <c r="BB85" s="302"/>
      <c r="BC85" s="302"/>
      <c r="BD85" s="302"/>
      <c r="BE85" s="302"/>
      <c r="BF85" s="302"/>
      <c r="BG85" s="302"/>
      <c r="BH85" s="302"/>
      <c r="BI85" s="302"/>
      <c r="BJ85" s="302"/>
      <c r="BK85" s="302"/>
      <c r="BL85" s="201"/>
      <c r="BM85" s="302"/>
      <c r="BN85" s="302"/>
      <c r="BO85" s="302"/>
      <c r="BP85" s="300"/>
      <c r="BQ85" s="300"/>
      <c r="BR85" s="300"/>
      <c r="BS85" s="300"/>
      <c r="BT85" s="300"/>
      <c r="BU85" s="300"/>
      <c r="BV85" s="300"/>
      <c r="BW85" s="300"/>
      <c r="BX85" s="300"/>
      <c r="BY85" s="300"/>
      <c r="BZ85" s="300"/>
      <c r="CA85" s="300"/>
      <c r="CB85" s="300"/>
      <c r="CC85" s="300"/>
      <c r="CD85" s="300"/>
      <c r="CE85" s="300"/>
      <c r="CF85" s="300"/>
      <c r="CG85" s="300"/>
      <c r="CH85" s="582"/>
      <c r="CI85" s="582"/>
      <c r="CJ85" s="582"/>
      <c r="CK85" s="605"/>
      <c r="CL85" s="605"/>
      <c r="CM85" s="605"/>
      <c r="CN85" s="605"/>
      <c r="CO85" s="605"/>
      <c r="CP85" s="605"/>
      <c r="CQ85"/>
      <c r="CR85"/>
      <c r="CS85"/>
      <c r="CT85"/>
      <c r="CU85"/>
      <c r="CV85"/>
      <c r="CW85"/>
      <c r="CX85" s="159"/>
      <c r="CY85" s="160"/>
      <c r="CZ85" s="160"/>
      <c r="DA85" s="161"/>
      <c r="DB85" s="161"/>
      <c r="DC85" s="161"/>
      <c r="DD85" s="161"/>
    </row>
    <row r="86" spans="1:108" s="76" customFormat="1" ht="12.75" customHeight="1">
      <c r="A86"/>
      <c r="B86"/>
      <c r="C86"/>
      <c r="D86"/>
      <c r="E86" s="168"/>
      <c r="F86" s="168"/>
      <c r="G86" s="2"/>
      <c r="H86" s="2"/>
      <c r="I86" s="79"/>
      <c r="J86" s="79"/>
      <c r="K86" s="79"/>
      <c r="L86" s="79"/>
      <c r="M86" s="2"/>
      <c r="N86" s="2"/>
      <c r="O86" s="2"/>
      <c r="P86" s="2"/>
      <c r="Q86" s="2"/>
      <c r="R86" s="79"/>
      <c r="S86" s="12"/>
      <c r="T86" s="12"/>
      <c r="U86" s="79"/>
      <c r="V86" s="79"/>
      <c r="W86" s="79"/>
      <c r="X86" s="12"/>
      <c r="Y86" s="12"/>
      <c r="Z86" s="301"/>
      <c r="AA86" s="301"/>
      <c r="AB86" s="301"/>
      <c r="AC86" s="301"/>
      <c r="AD86" s="301"/>
      <c r="AE86" s="301"/>
      <c r="AF86" s="301"/>
      <c r="AG86" s="301"/>
      <c r="AH86" s="301"/>
      <c r="AI86" s="12"/>
      <c r="AJ86" s="12"/>
      <c r="AK86" s="647"/>
      <c r="AL86" s="647"/>
      <c r="AM86" s="647"/>
      <c r="AN86" s="647"/>
      <c r="AO86" s="647"/>
      <c r="AP86" s="647"/>
      <c r="AQ86" s="647"/>
      <c r="AR86" s="647"/>
      <c r="AS86" s="12"/>
      <c r="AT86" s="298"/>
      <c r="AU86" s="298"/>
      <c r="AV86" s="648"/>
      <c r="AW86" s="648"/>
      <c r="AX86" s="648"/>
      <c r="AY86" s="648"/>
      <c r="AZ86" s="298"/>
      <c r="BA86" s="298"/>
      <c r="BB86" s="298"/>
      <c r="BC86" s="298"/>
      <c r="BD86" s="298"/>
      <c r="BE86" s="298"/>
      <c r="BF86" s="298"/>
      <c r="BG86" s="298"/>
      <c r="BH86" s="298"/>
      <c r="BI86" s="298"/>
      <c r="BJ86" s="298"/>
      <c r="BK86" s="298"/>
      <c r="BL86" s="200"/>
      <c r="BM86" s="298"/>
      <c r="BN86" s="298"/>
      <c r="BO86" s="298"/>
      <c r="BP86" s="300"/>
      <c r="BQ86" s="300"/>
      <c r="BR86" s="300"/>
      <c r="BS86" s="300"/>
      <c r="BT86" s="300"/>
      <c r="BU86" s="300"/>
      <c r="BV86" s="300"/>
      <c r="BW86" s="300"/>
      <c r="BX86" s="300"/>
      <c r="BY86" s="300"/>
      <c r="BZ86" s="300"/>
      <c r="CA86" s="300"/>
      <c r="CB86" s="300"/>
      <c r="CC86" s="300"/>
      <c r="CD86" s="300"/>
      <c r="CE86" s="300"/>
      <c r="CF86" s="300"/>
      <c r="CG86" s="300"/>
      <c r="CH86" s="582"/>
      <c r="CI86" s="582"/>
      <c r="CJ86" s="582"/>
      <c r="CK86" s="605"/>
      <c r="CL86" s="605"/>
      <c r="CM86" s="605"/>
      <c r="CN86" s="605"/>
      <c r="CO86" s="605"/>
      <c r="CP86" s="605"/>
      <c r="CQ86"/>
      <c r="CR86"/>
      <c r="CS86"/>
      <c r="CT86"/>
      <c r="CU86"/>
      <c r="CV86"/>
      <c r="CW86"/>
      <c r="CX86" s="159"/>
      <c r="CY86" s="160"/>
      <c r="CZ86" s="160"/>
      <c r="DA86" s="161"/>
      <c r="DB86" s="161"/>
      <c r="DC86" s="161"/>
      <c r="DD86" s="161"/>
    </row>
    <row r="87" spans="1:108" s="76" customFormat="1" ht="12.75" customHeight="1">
      <c r="A87"/>
      <c r="B87"/>
      <c r="C87" s="307"/>
      <c r="D87" s="154"/>
      <c r="E87" s="168"/>
      <c r="F87" s="168"/>
      <c r="G87" s="2"/>
      <c r="H87" s="2"/>
      <c r="I87" s="88"/>
      <c r="J87" s="88"/>
      <c r="K87" s="88"/>
      <c r="L87" s="88"/>
      <c r="M87" s="2"/>
      <c r="N87" s="2"/>
      <c r="O87" s="2"/>
      <c r="P87" s="2"/>
      <c r="Q87" s="2"/>
      <c r="R87" s="79"/>
      <c r="S87" s="12"/>
      <c r="T87" s="12"/>
      <c r="U87" s="88"/>
      <c r="V87" s="88"/>
      <c r="W87" s="88"/>
      <c r="X87" s="12"/>
      <c r="Y87" s="12"/>
      <c r="AA87" s="308"/>
      <c r="AB87" s="308"/>
      <c r="AC87" s="308"/>
      <c r="AD87" s="308"/>
      <c r="AE87" s="308"/>
      <c r="AF87" s="308"/>
      <c r="AG87" s="308"/>
      <c r="AH87" s="308"/>
      <c r="AI87" s="308"/>
      <c r="AJ87" s="308"/>
      <c r="AK87" s="308"/>
      <c r="AL87" s="308"/>
      <c r="AM87" s="308"/>
      <c r="AN87" s="308"/>
      <c r="AO87" s="308"/>
      <c r="AP87" s="308"/>
      <c r="AQ87" s="308"/>
      <c r="AR87" s="308"/>
      <c r="AS87" s="308"/>
      <c r="AT87" s="298"/>
      <c r="AU87" s="298"/>
      <c r="AV87" s="648"/>
      <c r="AW87" s="648"/>
      <c r="AX87" s="648"/>
      <c r="AY87" s="648"/>
      <c r="AZ87" s="298"/>
      <c r="BA87" s="298"/>
      <c r="BB87" s="298"/>
      <c r="BC87" s="298"/>
      <c r="BD87" s="298"/>
      <c r="BE87" s="298"/>
      <c r="BF87" s="298"/>
      <c r="BG87" s="298"/>
      <c r="BH87" s="298"/>
      <c r="BI87" s="298"/>
      <c r="BJ87" s="298"/>
      <c r="BK87" s="298"/>
      <c r="BL87" s="200"/>
      <c r="BM87" s="298"/>
      <c r="BN87" s="298"/>
      <c r="BO87" s="298"/>
      <c r="BP87" s="303"/>
      <c r="BQ87" s="303"/>
      <c r="BR87" s="303"/>
      <c r="BS87" s="303"/>
      <c r="BT87" s="303"/>
      <c r="BU87" s="303"/>
      <c r="BV87" s="303"/>
      <c r="BW87" s="303"/>
      <c r="BX87" s="303"/>
      <c r="BY87" s="303"/>
      <c r="BZ87" s="303"/>
      <c r="CA87" s="303"/>
      <c r="CB87" s="303"/>
      <c r="CC87" s="303"/>
      <c r="CD87" s="303"/>
      <c r="CE87" s="303"/>
      <c r="CF87" s="303"/>
      <c r="CG87" s="303"/>
      <c r="CH87" s="582"/>
      <c r="CI87" s="582"/>
      <c r="CJ87" s="582"/>
      <c r="CK87" s="298"/>
      <c r="CL87" s="298"/>
      <c r="CM87" s="298"/>
      <c r="CN87" s="605"/>
      <c r="CO87" s="605"/>
      <c r="CP87" s="605"/>
      <c r="CQ87"/>
      <c r="CR87"/>
      <c r="CS87"/>
      <c r="CT87"/>
      <c r="CU87"/>
      <c r="CV87"/>
      <c r="CW87"/>
      <c r="CX87" s="159"/>
      <c r="CY87" s="160"/>
      <c r="CZ87" s="160"/>
      <c r="DA87" s="161"/>
      <c r="DB87" s="161"/>
      <c r="DC87" s="161"/>
      <c r="DD87" s="161"/>
    </row>
    <row r="88" spans="1:108" s="76" customFormat="1" ht="12.75" customHeight="1">
      <c r="A88"/>
      <c r="B88"/>
      <c r="C88" s="307"/>
      <c r="D88" s="154"/>
      <c r="E88" s="168"/>
      <c r="F88" s="168"/>
      <c r="G88" s="2"/>
      <c r="H88" s="2"/>
      <c r="I88" s="88"/>
      <c r="J88" s="88"/>
      <c r="K88" s="88"/>
      <c r="L88" s="88"/>
      <c r="M88" s="2"/>
      <c r="N88" s="2"/>
      <c r="O88" s="2"/>
      <c r="P88" s="2"/>
      <c r="Q88" s="2"/>
      <c r="R88" s="98"/>
      <c r="S88" s="79"/>
      <c r="T88" s="12"/>
      <c r="U88" s="88"/>
      <c r="V88" s="88"/>
      <c r="W88" s="88"/>
      <c r="X88" s="12"/>
      <c r="Y88" s="12"/>
      <c r="Z88" s="304"/>
      <c r="AA88" s="304"/>
      <c r="AB88" s="304"/>
      <c r="AC88" s="304"/>
      <c r="AD88" s="304"/>
      <c r="AE88" s="304"/>
      <c r="AF88" s="304"/>
      <c r="AG88" s="304"/>
      <c r="AH88" s="304"/>
      <c r="AI88" s="304"/>
      <c r="AJ88" s="304"/>
      <c r="AK88" s="304"/>
      <c r="AL88" s="304"/>
      <c r="AM88" s="304"/>
      <c r="AN88" s="304"/>
      <c r="AO88" s="304"/>
      <c r="AP88" s="304"/>
      <c r="AQ88" s="304"/>
      <c r="AR88" s="304"/>
      <c r="AS88" s="304"/>
      <c r="AT88" s="298"/>
      <c r="AU88" s="298"/>
      <c r="AV88" s="298"/>
      <c r="AW88" s="298"/>
      <c r="AX88" s="298"/>
      <c r="AY88" s="298"/>
      <c r="AZ88" s="298"/>
      <c r="BA88" s="298"/>
      <c r="BB88" s="298"/>
      <c r="BC88" s="298"/>
      <c r="BD88" s="298"/>
      <c r="BE88" s="298"/>
      <c r="BF88" s="298"/>
      <c r="BG88" s="298"/>
      <c r="BH88" s="298"/>
      <c r="BI88" s="298"/>
      <c r="BJ88" s="298"/>
      <c r="BK88" s="298"/>
      <c r="BL88" s="200"/>
      <c r="BM88" s="298"/>
      <c r="BN88" s="298"/>
      <c r="BO88" s="298"/>
      <c r="BP88" s="303"/>
      <c r="BQ88" s="303"/>
      <c r="BR88" s="303"/>
      <c r="BS88" s="303"/>
      <c r="BT88" s="303"/>
      <c r="BU88" s="303"/>
      <c r="BV88" s="303"/>
      <c r="BW88" s="303"/>
      <c r="BX88" s="303"/>
      <c r="BY88" s="303"/>
      <c r="BZ88" s="303"/>
      <c r="CA88" s="303"/>
      <c r="CB88" s="303"/>
      <c r="CC88" s="303"/>
      <c r="CD88" s="303"/>
      <c r="CE88" s="303"/>
      <c r="CF88" s="303"/>
      <c r="CG88" s="303"/>
      <c r="CH88" s="649"/>
      <c r="CI88" s="649"/>
      <c r="CJ88" s="649"/>
      <c r="CK88" s="649"/>
      <c r="CL88" s="650"/>
      <c r="CM88" s="650"/>
      <c r="CN88" s="650"/>
      <c r="CO88" s="650"/>
      <c r="CP88" s="650"/>
      <c r="CQ88"/>
      <c r="CR88"/>
      <c r="CS88"/>
      <c r="CT88"/>
      <c r="CU88"/>
      <c r="CV88"/>
      <c r="CW88"/>
      <c r="CX88" s="159"/>
      <c r="CY88" s="160"/>
      <c r="CZ88" s="160"/>
      <c r="DA88" s="161"/>
      <c r="DB88" s="161"/>
      <c r="DC88" s="161"/>
      <c r="DD88" s="161"/>
    </row>
    <row r="89" spans="1:108" s="76" customFormat="1" ht="12.75" customHeight="1">
      <c r="A89"/>
      <c r="B89"/>
      <c r="C89" s="140"/>
      <c r="D89" s="155"/>
      <c r="E89" s="168"/>
      <c r="F89" s="168"/>
      <c r="G89" s="2"/>
      <c r="H89" s="2"/>
      <c r="I89" s="88"/>
      <c r="J89" s="88"/>
      <c r="K89" s="88"/>
      <c r="L89" s="88"/>
      <c r="M89" s="2"/>
      <c r="N89" s="2"/>
      <c r="O89" s="2"/>
      <c r="P89" s="2"/>
      <c r="Q89" s="2"/>
      <c r="R89" s="99"/>
      <c r="S89" s="88"/>
      <c r="T89" s="12"/>
      <c r="U89" s="88"/>
      <c r="V89" s="88"/>
      <c r="W89" s="88"/>
      <c r="X89" s="12"/>
      <c r="Y89" s="12"/>
      <c r="Z89" s="304"/>
      <c r="AA89" s="304"/>
      <c r="AB89" s="304"/>
      <c r="AC89" s="304"/>
      <c r="AD89" s="304"/>
      <c r="AE89" s="304"/>
      <c r="AF89" s="304"/>
      <c r="AG89" s="304"/>
      <c r="AH89" s="304"/>
      <c r="AI89" s="304"/>
      <c r="AJ89" s="304"/>
      <c r="AK89" s="304"/>
      <c r="AL89" s="304"/>
      <c r="AM89" s="304"/>
      <c r="AN89" s="304"/>
      <c r="AO89" s="304"/>
      <c r="AP89" s="304"/>
      <c r="AQ89" s="304"/>
      <c r="AR89" s="304"/>
      <c r="AS89" s="304"/>
      <c r="AT89" s="298"/>
      <c r="AU89" s="298"/>
      <c r="AV89" s="298"/>
      <c r="AW89" s="298"/>
      <c r="AX89" s="298"/>
      <c r="AY89" s="298"/>
      <c r="AZ89" s="298"/>
      <c r="BA89" s="298"/>
      <c r="BB89" s="298"/>
      <c r="BC89" s="298"/>
      <c r="BD89" s="298"/>
      <c r="BE89" s="298"/>
      <c r="BF89" s="298"/>
      <c r="BG89" s="298"/>
      <c r="BH89" s="298"/>
      <c r="BI89" s="298"/>
      <c r="BJ89" s="298"/>
      <c r="BK89" s="298"/>
      <c r="BL89" s="200"/>
      <c r="BM89" s="298"/>
      <c r="BN89" s="298"/>
      <c r="BO89" s="298"/>
      <c r="BP89" s="303"/>
      <c r="BQ89" s="303"/>
      <c r="BR89" s="303"/>
      <c r="BS89" s="303"/>
      <c r="BT89" s="303"/>
      <c r="BU89" s="303"/>
      <c r="BV89" s="303"/>
      <c r="BW89" s="303"/>
      <c r="BX89" s="303"/>
      <c r="BY89" s="303"/>
      <c r="BZ89" s="303"/>
      <c r="CA89" s="303"/>
      <c r="CB89" s="303"/>
      <c r="CC89" s="303"/>
      <c r="CD89" s="303"/>
      <c r="CE89" s="303"/>
      <c r="CF89" s="303"/>
      <c r="CG89" s="303"/>
      <c r="CH89" s="649"/>
      <c r="CI89" s="649"/>
      <c r="CJ89" s="649"/>
      <c r="CK89" s="649"/>
      <c r="CL89" s="650"/>
      <c r="CM89" s="650"/>
      <c r="CN89" s="650"/>
      <c r="CO89" s="650"/>
      <c r="CP89" s="650"/>
      <c r="CQ89"/>
      <c r="CR89"/>
      <c r="CS89"/>
      <c r="CT89"/>
      <c r="CU89"/>
      <c r="CV89"/>
      <c r="CW89"/>
      <c r="CX89" s="159"/>
      <c r="CY89" s="160"/>
      <c r="CZ89" s="160"/>
      <c r="DA89" s="161"/>
      <c r="DB89" s="161"/>
      <c r="DC89" s="161"/>
      <c r="DD89" s="161"/>
    </row>
    <row r="90" spans="1:108" s="76" customFormat="1" ht="12.75" customHeight="1">
      <c r="A90"/>
      <c r="B90"/>
      <c r="C90" s="140"/>
      <c r="D90" s="155"/>
      <c r="E90" s="168"/>
      <c r="F90" s="168"/>
      <c r="G90" s="2"/>
      <c r="H90" s="2"/>
      <c r="I90" s="79"/>
      <c r="J90" s="79"/>
      <c r="K90" s="79"/>
      <c r="L90" s="79"/>
      <c r="M90" s="2"/>
      <c r="N90" s="2"/>
      <c r="O90" s="2"/>
      <c r="P90" s="169"/>
      <c r="Q90" s="2"/>
      <c r="R90" s="99"/>
      <c r="S90" s="88"/>
      <c r="T90" s="12"/>
      <c r="U90" s="79"/>
      <c r="V90" s="79"/>
      <c r="W90" s="79"/>
      <c r="X90" s="12"/>
      <c r="Y90" s="12"/>
      <c r="Z90" s="304"/>
      <c r="AA90" s="304"/>
      <c r="AB90" s="304"/>
      <c r="AC90" s="304"/>
      <c r="AD90" s="304"/>
      <c r="AE90" s="304"/>
      <c r="AF90" s="304"/>
      <c r="AG90" s="304"/>
      <c r="AH90" s="304"/>
      <c r="AI90" s="304"/>
      <c r="AJ90" s="304"/>
      <c r="AK90" s="304"/>
      <c r="AL90" s="304"/>
      <c r="AM90" s="304"/>
      <c r="AN90" s="304"/>
      <c r="AO90" s="304"/>
      <c r="AP90" s="304"/>
      <c r="AQ90" s="304"/>
      <c r="AR90" s="304"/>
      <c r="AS90" s="304"/>
      <c r="AT90" s="298"/>
      <c r="AU90" s="298"/>
      <c r="AV90" s="298"/>
      <c r="AW90" s="298"/>
      <c r="AX90" s="298"/>
      <c r="AY90" s="298"/>
      <c r="AZ90" s="298"/>
      <c r="BA90" s="298"/>
      <c r="BB90" s="298"/>
      <c r="BC90" s="298"/>
      <c r="BD90" s="298"/>
      <c r="BE90" s="298"/>
      <c r="BF90" s="298"/>
      <c r="BG90" s="298"/>
      <c r="BH90" s="298"/>
      <c r="BI90" s="298"/>
      <c r="BJ90" s="298"/>
      <c r="BK90" s="298"/>
      <c r="BL90" s="200"/>
      <c r="BM90" s="298"/>
      <c r="BN90" s="298"/>
      <c r="BO90" s="298"/>
      <c r="BP90" s="299"/>
      <c r="BQ90" s="299"/>
      <c r="BR90" s="299"/>
      <c r="BS90" s="299"/>
      <c r="BT90" s="299"/>
      <c r="BU90" s="299"/>
      <c r="BV90" s="299"/>
      <c r="BW90" s="299"/>
      <c r="BX90" s="299"/>
      <c r="BY90" s="299"/>
      <c r="BZ90" s="299"/>
      <c r="CA90" s="299"/>
      <c r="CB90" s="299"/>
      <c r="CC90" s="299"/>
      <c r="CD90" s="299"/>
      <c r="CE90" s="299"/>
      <c r="CF90" s="299"/>
      <c r="CG90" s="299"/>
      <c r="CH90" s="593"/>
      <c r="CI90" s="593"/>
      <c r="CJ90" s="593"/>
      <c r="CK90" s="593"/>
      <c r="CL90" s="593"/>
      <c r="CM90" s="593"/>
      <c r="CN90" s="593"/>
      <c r="CO90" s="593"/>
      <c r="CP90" s="593"/>
      <c r="CQ90"/>
      <c r="CR90"/>
      <c r="CS90"/>
      <c r="CT90"/>
      <c r="CU90"/>
      <c r="CV90"/>
      <c r="CW90"/>
      <c r="CX90" s="162"/>
      <c r="CY90" s="163"/>
      <c r="CZ90" s="163"/>
      <c r="DA90" s="164"/>
      <c r="DB90" s="164"/>
      <c r="DC90" s="164"/>
      <c r="DD90" s="164"/>
    </row>
    <row r="91" spans="1:108" s="76" customFormat="1" ht="12.75" customHeight="1">
      <c r="A91"/>
      <c r="B91"/>
      <c r="C91" s="140"/>
      <c r="D91" s="155"/>
      <c r="E91" s="168"/>
      <c r="F91" s="168"/>
      <c r="G91" s="2"/>
      <c r="H91" s="2"/>
      <c r="I91" s="79"/>
      <c r="J91" s="79"/>
      <c r="K91" s="79"/>
      <c r="L91" s="79"/>
      <c r="M91" s="2"/>
      <c r="N91" s="2"/>
      <c r="O91" s="2"/>
      <c r="P91" s="169"/>
      <c r="Q91" s="2"/>
      <c r="R91" s="99"/>
      <c r="S91" s="88"/>
      <c r="T91" s="12"/>
      <c r="U91" s="79"/>
      <c r="V91" s="79"/>
      <c r="W91" s="79"/>
      <c r="X91" s="12"/>
      <c r="Y91" s="12"/>
      <c r="Z91" s="304"/>
      <c r="AA91" s="304"/>
      <c r="AB91" s="304"/>
      <c r="AC91" s="304"/>
      <c r="AD91" s="304"/>
      <c r="AE91" s="304"/>
      <c r="AF91" s="304"/>
      <c r="AG91" s="304"/>
      <c r="AH91" s="304"/>
      <c r="AI91" s="304"/>
      <c r="AJ91" s="304"/>
      <c r="AK91" s="304"/>
      <c r="AL91" s="304"/>
      <c r="AM91" s="304"/>
      <c r="AN91" s="304"/>
      <c r="AO91" s="304"/>
      <c r="AP91" s="304"/>
      <c r="AQ91" s="304"/>
      <c r="AR91" s="304"/>
      <c r="AS91" s="304"/>
      <c r="AT91" s="298"/>
      <c r="AU91" s="298"/>
      <c r="AV91" s="298"/>
      <c r="AW91" s="298"/>
      <c r="AX91" s="298"/>
      <c r="AY91" s="298"/>
      <c r="AZ91" s="298"/>
      <c r="BA91" s="298"/>
      <c r="BB91" s="298"/>
      <c r="BC91" s="298"/>
      <c r="BD91" s="298"/>
      <c r="BE91" s="298"/>
      <c r="BF91" s="298"/>
      <c r="BG91" s="298"/>
      <c r="BH91" s="298"/>
      <c r="BI91" s="298"/>
      <c r="BJ91" s="298"/>
      <c r="BK91" s="298"/>
      <c r="BL91" s="200"/>
      <c r="BM91" s="298"/>
      <c r="BN91" s="298"/>
      <c r="BO91" s="298"/>
      <c r="BP91" s="292"/>
      <c r="BQ91" s="292"/>
      <c r="BR91" s="292"/>
      <c r="BS91" s="292"/>
      <c r="BT91" s="292"/>
      <c r="BU91" s="292"/>
      <c r="BV91" s="292"/>
      <c r="BW91" s="292"/>
      <c r="BX91" s="292"/>
      <c r="BY91" s="292"/>
      <c r="BZ91" s="292"/>
      <c r="CA91" s="292"/>
      <c r="CB91" s="292"/>
      <c r="CC91" s="292"/>
      <c r="CD91" s="292"/>
      <c r="CE91" s="292"/>
      <c r="CF91" s="292"/>
      <c r="CG91" s="292"/>
      <c r="CH91" s="583"/>
      <c r="CI91" s="583"/>
      <c r="CJ91" s="583"/>
      <c r="CK91" s="651"/>
      <c r="CL91" s="651"/>
      <c r="CM91" s="651"/>
      <c r="CN91" s="651"/>
      <c r="CO91" s="651"/>
      <c r="CP91" s="651"/>
      <c r="CQ91"/>
      <c r="CR91"/>
      <c r="CS91"/>
      <c r="CT91"/>
      <c r="CU91"/>
      <c r="CV91"/>
      <c r="CW91"/>
      <c r="CX91" s="159"/>
      <c r="CY91" s="160"/>
      <c r="CZ91" s="160"/>
      <c r="DA91" s="161"/>
      <c r="DB91" s="161"/>
      <c r="DC91" s="161"/>
      <c r="DD91" s="161"/>
    </row>
    <row r="92" spans="1:108" s="76" customFormat="1" ht="12.75" customHeight="1">
      <c r="A92"/>
      <c r="B92"/>
      <c r="C92" s="140"/>
      <c r="D92" s="155"/>
      <c r="E92" s="168"/>
      <c r="F92" s="168"/>
      <c r="G92" s="2"/>
      <c r="H92" s="2"/>
      <c r="I92" s="2"/>
      <c r="J92" s="2"/>
      <c r="K92" s="12"/>
      <c r="L92" s="12"/>
      <c r="M92" s="2"/>
      <c r="N92" s="2"/>
      <c r="O92" s="2"/>
      <c r="P92" s="169"/>
      <c r="Q92" s="2"/>
      <c r="R92" s="169"/>
      <c r="S92" s="169"/>
      <c r="T92" s="169"/>
      <c r="U92" s="170"/>
      <c r="V92" s="12"/>
      <c r="W92" s="12"/>
      <c r="X92" s="12"/>
      <c r="Y92" s="12"/>
      <c r="Z92" s="304"/>
      <c r="AA92" s="304"/>
      <c r="AB92" s="304"/>
      <c r="AC92" s="304"/>
      <c r="AD92" s="304"/>
      <c r="AE92" s="304"/>
      <c r="AF92" s="304"/>
      <c r="AG92" s="304"/>
      <c r="AH92" s="304"/>
      <c r="AI92" s="304"/>
      <c r="AJ92" s="304"/>
      <c r="AK92" s="304"/>
      <c r="AL92" s="304"/>
      <c r="AM92" s="304"/>
      <c r="AN92" s="304"/>
      <c r="AO92" s="304"/>
      <c r="AP92" s="304"/>
      <c r="AQ92" s="304"/>
      <c r="AR92" s="304"/>
      <c r="AS92" s="304"/>
      <c r="AT92" s="298"/>
      <c r="AU92" s="298"/>
      <c r="AV92" s="592"/>
      <c r="AW92" s="298"/>
      <c r="AX92" s="298"/>
      <c r="AY92" s="298"/>
      <c r="AZ92" s="298"/>
      <c r="BA92" s="298"/>
      <c r="BB92" s="298"/>
      <c r="BC92" s="298"/>
      <c r="BD92" s="298"/>
      <c r="BE92" s="298"/>
      <c r="BF92" s="298"/>
      <c r="BG92" s="298"/>
      <c r="BH92" s="298"/>
      <c r="BI92" s="298"/>
      <c r="BJ92" s="298"/>
      <c r="BK92" s="298"/>
      <c r="BL92" s="200"/>
      <c r="BM92" s="298"/>
      <c r="BN92" s="298"/>
      <c r="BO92" s="298"/>
      <c r="BP92" s="292"/>
      <c r="BQ92" s="292"/>
      <c r="BR92" s="292"/>
      <c r="BS92" s="292"/>
      <c r="BT92" s="292"/>
      <c r="BU92" s="292"/>
      <c r="BV92" s="292"/>
      <c r="BW92" s="292"/>
      <c r="BX92" s="292"/>
      <c r="BY92" s="292"/>
      <c r="BZ92" s="292"/>
      <c r="CA92" s="292"/>
      <c r="CB92" s="292"/>
      <c r="CC92" s="292"/>
      <c r="CD92" s="292"/>
      <c r="CE92" s="292"/>
      <c r="CF92" s="292"/>
      <c r="CG92" s="292"/>
      <c r="CH92" s="583"/>
      <c r="CI92" s="583"/>
      <c r="CJ92" s="583"/>
      <c r="CK92" s="651"/>
      <c r="CL92" s="651"/>
      <c r="CM92" s="651"/>
      <c r="CN92" s="651"/>
      <c r="CO92" s="651"/>
      <c r="CP92" s="651"/>
      <c r="CQ92"/>
      <c r="CR92"/>
      <c r="CS92"/>
      <c r="CT92"/>
      <c r="CU92"/>
      <c r="CV92"/>
      <c r="CW92"/>
      <c r="CX92" s="165"/>
      <c r="CY92" s="166"/>
      <c r="CZ92" s="166"/>
      <c r="DA92" s="167"/>
      <c r="DB92" s="167"/>
      <c r="DC92" s="167"/>
      <c r="DD92" s="167"/>
    </row>
    <row r="93" spans="1:108" s="76" customFormat="1" ht="12.75" customHeight="1">
      <c r="A93"/>
      <c r="B93"/>
      <c r="C93" s="140"/>
      <c r="D93" s="290"/>
      <c r="E93" s="290"/>
      <c r="F93" s="290"/>
      <c r="G93" s="290"/>
      <c r="H93" s="290"/>
      <c r="I93" s="290"/>
      <c r="J93" s="290"/>
      <c r="K93" s="290"/>
      <c r="L93" s="290"/>
      <c r="M93" s="290"/>
      <c r="N93" s="290"/>
      <c r="O93" s="292"/>
      <c r="P93" s="292"/>
      <c r="Q93" s="140"/>
      <c r="R93" s="291"/>
      <c r="S93" s="291"/>
      <c r="T93" s="291"/>
      <c r="U93" s="291"/>
      <c r="V93" s="291"/>
      <c r="W93" s="291"/>
      <c r="X93" s="291"/>
      <c r="Y93" s="291"/>
      <c r="Z93" s="291"/>
      <c r="AA93" s="291"/>
      <c r="AB93" s="291"/>
      <c r="AC93" s="291"/>
      <c r="AD93" s="291"/>
      <c r="AE93" s="291"/>
      <c r="AF93" s="291"/>
      <c r="AG93" s="291"/>
      <c r="AH93" s="291"/>
      <c r="AI93" s="291"/>
      <c r="AJ93" s="291"/>
      <c r="AK93" s="291"/>
      <c r="AL93" s="292"/>
      <c r="AM93" s="292"/>
      <c r="AN93" s="292"/>
      <c r="AO93" s="292"/>
      <c r="AP93" s="292"/>
      <c r="AQ93" s="292"/>
      <c r="AR93" s="292"/>
      <c r="AS93" s="292"/>
      <c r="AT93" s="292"/>
      <c r="AU93" s="292"/>
      <c r="AV93" s="292"/>
      <c r="AW93" s="292"/>
      <c r="AX93" s="292"/>
      <c r="AY93" s="292"/>
      <c r="AZ93" s="292"/>
      <c r="BA93" s="292"/>
      <c r="BB93" s="292"/>
      <c r="BC93"/>
      <c r="BD93" s="292"/>
      <c r="BE93" s="292"/>
      <c r="BF93" s="291"/>
      <c r="BG93" s="291"/>
      <c r="BH93" s="291"/>
      <c r="BI93" s="291"/>
      <c r="BJ93" s="291"/>
      <c r="BK93" s="291"/>
      <c r="BL93" s="291"/>
      <c r="BM93" s="291"/>
      <c r="BN93" s="291"/>
      <c r="BO93" s="291"/>
      <c r="BP93" s="291"/>
      <c r="BQ93" s="291"/>
      <c r="BR93" s="291"/>
      <c r="BS93" s="291"/>
      <c r="BT93" s="291"/>
      <c r="BU93"/>
      <c r="BV93"/>
      <c r="BW93"/>
      <c r="BX93"/>
      <c r="BY93"/>
      <c r="BZ93"/>
      <c r="CA93"/>
      <c r="CB93"/>
      <c r="CC93"/>
      <c r="CD93"/>
      <c r="CE93"/>
      <c r="CF93"/>
      <c r="CG93"/>
      <c r="CH93"/>
      <c r="CI93"/>
      <c r="CJ93"/>
      <c r="CK93"/>
      <c r="CL93"/>
      <c r="CM93"/>
      <c r="CN93"/>
      <c r="CO93"/>
      <c r="CP93"/>
      <c r="CQ93"/>
      <c r="CR93"/>
      <c r="CS93"/>
      <c r="CT93"/>
      <c r="CU93"/>
      <c r="CV93"/>
      <c r="CW93"/>
      <c r="CX93" s="165"/>
      <c r="CY93" s="166"/>
      <c r="CZ93" s="166"/>
      <c r="DA93" s="167"/>
      <c r="DB93" s="167"/>
      <c r="DC93" s="167"/>
      <c r="DD93" s="167"/>
    </row>
    <row r="94" spans="1:108" ht="12.75" customHeight="1">
      <c r="C94" s="147"/>
      <c r="D94" s="295"/>
      <c r="E94" s="295"/>
      <c r="F94" s="295"/>
      <c r="G94" s="295"/>
      <c r="H94" s="295"/>
      <c r="I94" s="295"/>
      <c r="J94" s="295"/>
      <c r="K94" s="295"/>
      <c r="L94" s="295"/>
      <c r="M94" s="295"/>
      <c r="N94" s="295"/>
      <c r="O94" s="294"/>
      <c r="P94" s="294"/>
      <c r="Q94" s="147"/>
      <c r="R94" s="293"/>
      <c r="S94" s="293"/>
      <c r="T94" s="293"/>
      <c r="U94" s="293"/>
      <c r="V94" s="293"/>
      <c r="W94" s="293"/>
      <c r="X94" s="293"/>
      <c r="Y94" s="293"/>
      <c r="Z94" s="293"/>
      <c r="AA94" s="293"/>
      <c r="AB94" s="293"/>
      <c r="AC94" s="293"/>
      <c r="AD94" s="293"/>
      <c r="AE94" s="293"/>
      <c r="AF94" s="293"/>
      <c r="AG94" s="293"/>
      <c r="AH94" s="293"/>
      <c r="AI94" s="293"/>
      <c r="AJ94" s="293"/>
      <c r="AK94" s="293"/>
      <c r="AL94" s="294"/>
      <c r="AM94" s="294"/>
      <c r="AN94" s="294"/>
      <c r="AO94" s="294"/>
      <c r="AP94" s="294"/>
      <c r="AQ94" s="294"/>
      <c r="AR94" s="294"/>
      <c r="AS94" s="294"/>
      <c r="AT94" s="294"/>
      <c r="AU94" s="294"/>
      <c r="AV94" s="294"/>
      <c r="AW94" s="294"/>
      <c r="AX94" s="294"/>
      <c r="AY94" s="294"/>
      <c r="AZ94" s="294"/>
      <c r="BA94" s="294"/>
      <c r="BB94" s="294"/>
      <c r="BD94" s="294"/>
      <c r="BE94" s="294"/>
      <c r="BF94" s="293"/>
      <c r="BG94" s="293"/>
      <c r="BH94" s="293"/>
      <c r="BI94" s="293"/>
      <c r="BJ94" s="293"/>
      <c r="BK94" s="293"/>
      <c r="BL94" s="293"/>
      <c r="BM94" s="293"/>
      <c r="BN94" s="293"/>
      <c r="BO94" s="293"/>
      <c r="BP94" s="293"/>
      <c r="BQ94" s="293"/>
      <c r="BR94" s="293"/>
      <c r="BS94" s="293"/>
      <c r="BT94" s="293"/>
      <c r="CX94" s="159"/>
      <c r="CY94" s="160"/>
      <c r="CZ94" s="160"/>
      <c r="DA94" s="161"/>
      <c r="DB94" s="161"/>
      <c r="DC94" s="161"/>
      <c r="DD94" s="161"/>
    </row>
    <row r="95" spans="1:108" ht="12.75" customHeight="1">
      <c r="C95" s="140"/>
      <c r="D95" s="290"/>
      <c r="E95" s="290"/>
      <c r="F95" s="290"/>
      <c r="G95" s="290"/>
      <c r="H95" s="290"/>
      <c r="I95" s="290"/>
      <c r="J95" s="290"/>
      <c r="K95" s="290"/>
      <c r="L95" s="290"/>
      <c r="M95" s="290"/>
      <c r="N95" s="290"/>
      <c r="O95" s="292"/>
      <c r="P95" s="292"/>
      <c r="Q95" s="140"/>
      <c r="R95" s="291"/>
      <c r="S95" s="291"/>
      <c r="T95" s="291"/>
      <c r="U95" s="291"/>
      <c r="V95" s="291"/>
      <c r="W95" s="291"/>
      <c r="X95" s="291"/>
      <c r="Y95" s="291"/>
      <c r="Z95" s="291"/>
      <c r="AA95" s="291"/>
      <c r="AB95" s="291"/>
      <c r="AC95" s="291"/>
      <c r="AD95" s="291"/>
      <c r="AE95" s="291"/>
      <c r="AF95" s="291"/>
      <c r="AG95" s="291"/>
      <c r="AH95" s="291"/>
      <c r="AI95" s="291"/>
      <c r="AJ95" s="291"/>
      <c r="AK95" s="291"/>
      <c r="AL95" s="292"/>
      <c r="AM95" s="292"/>
      <c r="AN95" s="292"/>
      <c r="AO95" s="292"/>
      <c r="AP95" s="292"/>
      <c r="AQ95" s="292"/>
      <c r="AR95" s="292"/>
      <c r="AS95" s="292"/>
      <c r="AT95" s="292"/>
      <c r="AU95" s="292"/>
      <c r="AV95" s="292"/>
      <c r="AW95" s="292"/>
      <c r="AX95" s="292"/>
      <c r="AY95" s="292"/>
      <c r="AZ95" s="292"/>
      <c r="BA95" s="292"/>
      <c r="BB95" s="292"/>
      <c r="BD95" s="292"/>
      <c r="BE95" s="292"/>
      <c r="BF95" s="291"/>
      <c r="BG95" s="291"/>
      <c r="BH95" s="291"/>
      <c r="BI95" s="291"/>
      <c r="BJ95" s="291"/>
      <c r="BK95" s="291"/>
      <c r="BL95" s="291"/>
      <c r="BM95" s="291"/>
      <c r="BN95" s="291"/>
      <c r="BO95" s="291"/>
      <c r="BP95" s="291"/>
      <c r="BQ95" s="291"/>
      <c r="BR95" s="291"/>
      <c r="BS95" s="291"/>
      <c r="BT95" s="291"/>
      <c r="CX95" s="159"/>
      <c r="CY95" s="160"/>
      <c r="CZ95" s="160"/>
      <c r="DA95" s="161"/>
      <c r="DB95" s="161"/>
      <c r="DC95" s="161"/>
      <c r="DD95" s="161"/>
    </row>
    <row r="96" spans="1:108" ht="12.75" customHeight="1">
      <c r="C96" s="148"/>
      <c r="D96" s="297"/>
      <c r="E96" s="297"/>
      <c r="F96" s="297"/>
      <c r="G96" s="297"/>
      <c r="H96" s="297"/>
      <c r="I96" s="297"/>
      <c r="J96" s="297"/>
      <c r="K96" s="297"/>
      <c r="L96" s="297"/>
      <c r="M96" s="297"/>
      <c r="N96" s="297"/>
      <c r="O96" s="288"/>
      <c r="P96" s="288"/>
      <c r="Q96" s="148"/>
      <c r="R96" s="289"/>
      <c r="S96" s="289"/>
      <c r="T96" s="289"/>
      <c r="U96" s="289"/>
      <c r="V96" s="289"/>
      <c r="W96" s="289"/>
      <c r="X96" s="289"/>
      <c r="Y96" s="289"/>
      <c r="Z96" s="289"/>
      <c r="AA96" s="289"/>
      <c r="AB96" s="289"/>
      <c r="AC96" s="289"/>
      <c r="AD96" s="289"/>
      <c r="AE96" s="289"/>
      <c r="AF96" s="289"/>
      <c r="AG96" s="289"/>
      <c r="AH96" s="289"/>
      <c r="AI96" s="289"/>
      <c r="AJ96" s="289"/>
      <c r="AK96" s="289"/>
      <c r="AL96" s="288"/>
      <c r="AM96" s="288"/>
      <c r="AN96" s="288"/>
      <c r="AO96" s="288"/>
      <c r="AP96" s="288"/>
      <c r="AQ96" s="288"/>
      <c r="AR96" s="288"/>
      <c r="AS96" s="288"/>
      <c r="AT96" s="288"/>
      <c r="AU96" s="288"/>
      <c r="AV96" s="288"/>
      <c r="AW96" s="288"/>
      <c r="AX96" s="288"/>
      <c r="AY96" s="288"/>
      <c r="AZ96" s="288"/>
      <c r="BA96" s="288"/>
      <c r="BB96" s="288"/>
      <c r="BD96" s="288"/>
      <c r="BE96" s="288"/>
      <c r="BF96" s="289"/>
      <c r="BG96" s="289"/>
      <c r="BH96" s="289"/>
      <c r="BI96" s="289"/>
      <c r="BJ96" s="289"/>
      <c r="BK96" s="289"/>
      <c r="BL96" s="289"/>
      <c r="BM96" s="289"/>
      <c r="BN96" s="289"/>
      <c r="BO96" s="289"/>
      <c r="BP96" s="289"/>
      <c r="BQ96" s="289"/>
      <c r="BR96" s="289"/>
      <c r="BS96" s="289"/>
      <c r="BT96" s="289"/>
      <c r="CX96" s="159"/>
      <c r="CY96" s="160"/>
      <c r="CZ96" s="160"/>
      <c r="DA96" s="161"/>
      <c r="DB96" s="161"/>
      <c r="DC96" s="161"/>
      <c r="DD96" s="161"/>
    </row>
    <row r="97" spans="3:108" ht="12.75" customHeight="1">
      <c r="C97" s="148"/>
      <c r="D97" s="297"/>
      <c r="E97" s="297"/>
      <c r="F97" s="297"/>
      <c r="G97" s="297"/>
      <c r="H97" s="297"/>
      <c r="I97" s="297"/>
      <c r="J97" s="297"/>
      <c r="K97" s="297"/>
      <c r="L97" s="297"/>
      <c r="M97" s="297"/>
      <c r="N97" s="297"/>
      <c r="O97" s="288"/>
      <c r="P97" s="288"/>
      <c r="Q97" s="148"/>
      <c r="R97" s="289"/>
      <c r="S97" s="289"/>
      <c r="T97" s="289"/>
      <c r="U97" s="289"/>
      <c r="V97" s="289"/>
      <c r="W97" s="289"/>
      <c r="X97" s="289"/>
      <c r="Y97" s="289"/>
      <c r="Z97" s="289"/>
      <c r="AA97" s="289"/>
      <c r="AB97" s="289"/>
      <c r="AC97" s="289"/>
      <c r="AD97" s="289"/>
      <c r="AE97" s="289"/>
      <c r="AF97" s="289"/>
      <c r="AG97" s="289"/>
      <c r="AH97" s="289"/>
      <c r="AI97" s="289"/>
      <c r="AJ97" s="289"/>
      <c r="AK97" s="289"/>
      <c r="AL97" s="288"/>
      <c r="AM97" s="288"/>
      <c r="AN97" s="288"/>
      <c r="AO97" s="288"/>
      <c r="AP97" s="288"/>
      <c r="AQ97" s="288"/>
      <c r="AR97" s="288"/>
      <c r="AS97" s="288"/>
      <c r="AT97" s="288"/>
      <c r="AU97" s="288"/>
      <c r="AV97" s="288"/>
      <c r="AW97" s="288"/>
      <c r="AX97" s="288"/>
      <c r="AY97" s="288"/>
      <c r="AZ97" s="288"/>
      <c r="BA97" s="288"/>
      <c r="BB97" s="288"/>
      <c r="BD97" s="288"/>
      <c r="BE97" s="288"/>
      <c r="BF97" s="289"/>
      <c r="BG97" s="289"/>
      <c r="BH97" s="289"/>
      <c r="BI97" s="289"/>
      <c r="BJ97" s="289"/>
      <c r="BK97" s="289"/>
      <c r="BL97" s="289"/>
      <c r="BM97" s="289"/>
      <c r="BN97" s="289"/>
      <c r="BO97" s="289"/>
      <c r="BP97" s="289"/>
      <c r="BQ97" s="289"/>
      <c r="BR97" s="289"/>
      <c r="BS97" s="289"/>
      <c r="BT97" s="289"/>
      <c r="CX97" s="159"/>
      <c r="CY97" s="160"/>
      <c r="CZ97" s="160"/>
      <c r="DA97" s="161"/>
      <c r="DB97" s="161"/>
      <c r="DC97" s="161"/>
      <c r="DD97" s="161"/>
    </row>
    <row r="98" spans="3:108" ht="12.75" customHeight="1">
      <c r="C98" s="140"/>
      <c r="D98" s="290"/>
      <c r="E98" s="290"/>
      <c r="F98" s="290"/>
      <c r="G98" s="290"/>
      <c r="H98" s="290"/>
      <c r="I98" s="290"/>
      <c r="J98" s="290"/>
      <c r="K98" s="290"/>
      <c r="L98" s="290"/>
      <c r="M98" s="290"/>
      <c r="N98" s="290"/>
      <c r="O98" s="292"/>
      <c r="P98" s="292"/>
      <c r="Q98" s="140"/>
      <c r="R98" s="291"/>
      <c r="S98" s="291"/>
      <c r="T98" s="291"/>
      <c r="U98" s="291"/>
      <c r="V98" s="291"/>
      <c r="W98" s="291"/>
      <c r="X98" s="291"/>
      <c r="Y98" s="291"/>
      <c r="Z98" s="291"/>
      <c r="AA98" s="291"/>
      <c r="AB98" s="291"/>
      <c r="AC98" s="291"/>
      <c r="AD98" s="291"/>
      <c r="AE98" s="291"/>
      <c r="AF98" s="291"/>
      <c r="AG98" s="291"/>
      <c r="AH98" s="291"/>
      <c r="AI98" s="291"/>
      <c r="AJ98" s="291"/>
      <c r="AK98" s="291"/>
      <c r="AL98" s="292"/>
      <c r="AM98" s="292"/>
      <c r="AN98" s="292"/>
      <c r="AO98" s="292"/>
      <c r="AP98" s="292"/>
      <c r="AQ98" s="292"/>
      <c r="AR98" s="292"/>
      <c r="AS98" s="292"/>
      <c r="AT98" s="292"/>
      <c r="AU98" s="292"/>
      <c r="AV98" s="292"/>
      <c r="AW98" s="292"/>
      <c r="AX98" s="292"/>
      <c r="AY98" s="292"/>
      <c r="AZ98" s="292"/>
      <c r="BA98" s="292"/>
      <c r="BB98" s="292"/>
      <c r="BD98" s="292"/>
      <c r="BE98" s="292"/>
      <c r="BF98" s="291"/>
      <c r="BG98" s="291"/>
      <c r="BH98" s="291"/>
      <c r="BI98" s="291"/>
      <c r="BJ98" s="291"/>
      <c r="BK98" s="291"/>
      <c r="BL98" s="291"/>
      <c r="BM98" s="291"/>
      <c r="BN98" s="291"/>
      <c r="BO98" s="291"/>
      <c r="BP98" s="291"/>
      <c r="BQ98" s="291"/>
      <c r="BR98" s="291"/>
      <c r="BS98" s="291"/>
      <c r="BT98" s="291"/>
      <c r="CX98" s="159"/>
      <c r="CY98" s="160"/>
      <c r="CZ98" s="160"/>
      <c r="DA98" s="155"/>
      <c r="DB98" s="161"/>
      <c r="DC98" s="161"/>
      <c r="DD98" s="161"/>
    </row>
    <row r="99" spans="3:108" ht="12.75" customHeight="1">
      <c r="C99" s="140"/>
      <c r="D99" s="290"/>
      <c r="E99" s="290"/>
      <c r="F99" s="290"/>
      <c r="G99" s="290"/>
      <c r="H99" s="290"/>
      <c r="I99" s="290"/>
      <c r="J99" s="290"/>
      <c r="K99" s="290"/>
      <c r="L99" s="290"/>
      <c r="M99" s="290"/>
      <c r="N99" s="290"/>
      <c r="O99" s="292"/>
      <c r="P99" s="292"/>
      <c r="Q99" s="140"/>
      <c r="R99" s="291"/>
      <c r="S99" s="291"/>
      <c r="T99" s="291"/>
      <c r="U99" s="291"/>
      <c r="V99" s="291"/>
      <c r="W99" s="291"/>
      <c r="X99" s="291"/>
      <c r="Y99" s="291"/>
      <c r="Z99" s="291"/>
      <c r="AA99" s="291"/>
      <c r="AB99" s="291"/>
      <c r="AC99" s="291"/>
      <c r="AD99" s="291"/>
      <c r="AE99" s="291"/>
      <c r="AF99" s="291"/>
      <c r="AG99" s="291"/>
      <c r="AH99" s="291"/>
      <c r="AI99" s="291"/>
      <c r="AJ99" s="291"/>
      <c r="AK99" s="291"/>
      <c r="AL99" s="292"/>
      <c r="AM99" s="292"/>
      <c r="AN99" s="292"/>
      <c r="AO99" s="292"/>
      <c r="AP99" s="292"/>
      <c r="AQ99" s="292"/>
      <c r="AR99" s="292"/>
      <c r="AS99" s="292"/>
      <c r="AT99" s="292"/>
      <c r="AU99" s="292"/>
      <c r="AV99" s="292"/>
      <c r="AW99" s="292"/>
      <c r="AX99" s="292"/>
      <c r="AY99" s="292"/>
      <c r="AZ99" s="292"/>
      <c r="BA99" s="292"/>
      <c r="BB99" s="292"/>
      <c r="BD99" s="292"/>
      <c r="BE99" s="292"/>
      <c r="BF99" s="291"/>
      <c r="BG99" s="291"/>
      <c r="BH99" s="291"/>
      <c r="BI99" s="291"/>
      <c r="BJ99" s="291"/>
      <c r="BK99" s="291"/>
      <c r="BL99" s="291"/>
      <c r="BM99" s="291"/>
      <c r="BN99" s="291"/>
      <c r="BO99" s="291"/>
      <c r="BP99" s="291"/>
      <c r="BQ99" s="291"/>
      <c r="BR99" s="291"/>
      <c r="BS99" s="291"/>
      <c r="BT99" s="291"/>
      <c r="CX99" s="159"/>
      <c r="CY99" s="160"/>
      <c r="CZ99" s="160"/>
      <c r="DA99" s="155"/>
      <c r="DB99" s="161"/>
      <c r="DC99" s="161"/>
      <c r="DD99" s="161"/>
    </row>
    <row r="100" spans="3:108" ht="12.75" customHeight="1">
      <c r="C100" s="140"/>
      <c r="D100" s="290"/>
      <c r="E100" s="290"/>
      <c r="F100" s="290"/>
      <c r="G100" s="290"/>
      <c r="H100" s="290"/>
      <c r="I100" s="290"/>
      <c r="J100" s="290"/>
      <c r="K100" s="290"/>
      <c r="L100" s="290"/>
      <c r="M100" s="290"/>
      <c r="N100" s="290"/>
      <c r="O100" s="292"/>
      <c r="P100" s="292"/>
      <c r="Q100" s="140"/>
      <c r="R100" s="291"/>
      <c r="S100" s="291"/>
      <c r="T100" s="291"/>
      <c r="U100" s="291"/>
      <c r="V100" s="291"/>
      <c r="W100" s="291"/>
      <c r="X100" s="291"/>
      <c r="Y100" s="291"/>
      <c r="Z100" s="291"/>
      <c r="AA100" s="291"/>
      <c r="AB100" s="291"/>
      <c r="AC100" s="291"/>
      <c r="AD100" s="291"/>
      <c r="AE100" s="291"/>
      <c r="AF100" s="291"/>
      <c r="AG100" s="291"/>
      <c r="AH100" s="291"/>
      <c r="AI100" s="291"/>
      <c r="AJ100" s="291"/>
      <c r="AK100" s="291"/>
      <c r="AL100" s="292"/>
      <c r="AM100" s="292"/>
      <c r="AN100" s="292"/>
      <c r="AO100" s="292"/>
      <c r="AP100" s="292"/>
      <c r="AQ100" s="292"/>
      <c r="AR100" s="292"/>
      <c r="AS100" s="292"/>
      <c r="AT100" s="292"/>
      <c r="AU100" s="292"/>
      <c r="AV100" s="292"/>
      <c r="AW100" s="292"/>
      <c r="AX100" s="292"/>
      <c r="AY100" s="292"/>
      <c r="AZ100" s="292"/>
      <c r="BA100" s="292"/>
      <c r="BB100" s="292"/>
      <c r="BD100" s="292"/>
      <c r="BE100" s="292"/>
      <c r="BF100" s="291"/>
      <c r="BG100" s="291"/>
      <c r="BH100" s="291"/>
      <c r="BI100" s="291"/>
      <c r="BJ100" s="291"/>
      <c r="BK100" s="291"/>
      <c r="BL100" s="291"/>
      <c r="BM100" s="291"/>
      <c r="BN100" s="291"/>
      <c r="BO100" s="291"/>
      <c r="BP100" s="291"/>
      <c r="BQ100" s="291"/>
      <c r="BR100" s="291"/>
      <c r="BS100" s="291"/>
      <c r="BT100" s="291"/>
      <c r="CX100" s="159"/>
      <c r="CY100" s="160"/>
      <c r="CZ100" s="160"/>
      <c r="DA100" s="161"/>
      <c r="DB100" s="161"/>
      <c r="DC100" s="161"/>
      <c r="DD100" s="161"/>
    </row>
    <row r="101" spans="3:108" ht="12.75" customHeight="1">
      <c r="C101" s="140"/>
      <c r="D101" s="290"/>
      <c r="E101" s="290"/>
      <c r="F101" s="290"/>
      <c r="G101" s="290"/>
      <c r="H101" s="290"/>
      <c r="I101" s="290"/>
      <c r="J101" s="290"/>
      <c r="K101" s="290"/>
      <c r="L101" s="290"/>
      <c r="M101" s="290"/>
      <c r="N101" s="290"/>
      <c r="O101" s="292"/>
      <c r="P101" s="292"/>
      <c r="Q101" s="140"/>
      <c r="R101" s="291"/>
      <c r="S101" s="291"/>
      <c r="T101" s="291"/>
      <c r="U101" s="291"/>
      <c r="V101" s="291"/>
      <c r="W101" s="291"/>
      <c r="X101" s="291"/>
      <c r="Y101" s="291"/>
      <c r="Z101" s="291"/>
      <c r="AA101" s="291"/>
      <c r="AB101" s="291"/>
      <c r="AC101" s="291"/>
      <c r="AD101" s="291"/>
      <c r="AE101" s="291"/>
      <c r="AF101" s="291"/>
      <c r="AG101" s="291"/>
      <c r="AH101" s="291"/>
      <c r="AI101" s="291"/>
      <c r="AJ101" s="291"/>
      <c r="AK101" s="291"/>
      <c r="AL101" s="292"/>
      <c r="AM101" s="292"/>
      <c r="AN101" s="292"/>
      <c r="AO101" s="292"/>
      <c r="AP101" s="292"/>
      <c r="AQ101" s="292"/>
      <c r="AR101" s="292"/>
      <c r="AS101" s="292"/>
      <c r="AT101" s="292"/>
      <c r="AU101" s="292"/>
      <c r="AV101" s="292"/>
      <c r="AW101" s="292"/>
      <c r="AX101" s="292"/>
      <c r="AY101" s="292"/>
      <c r="AZ101" s="292"/>
      <c r="BA101" s="292"/>
      <c r="BB101" s="292"/>
      <c r="BD101" s="292"/>
      <c r="BE101" s="292"/>
      <c r="BF101" s="291"/>
      <c r="BG101" s="291"/>
      <c r="BH101" s="291"/>
      <c r="BI101" s="291"/>
      <c r="BJ101" s="291"/>
      <c r="BK101" s="291"/>
      <c r="BL101" s="291"/>
      <c r="BM101" s="291"/>
      <c r="BN101" s="291"/>
      <c r="BO101" s="291"/>
      <c r="BP101" s="291"/>
      <c r="BQ101" s="291"/>
      <c r="BR101" s="291"/>
      <c r="BS101" s="291"/>
      <c r="BT101" s="291"/>
      <c r="CX101" s="159"/>
      <c r="CY101" s="160"/>
      <c r="CZ101" s="160"/>
      <c r="DA101" s="155"/>
      <c r="DB101" s="161"/>
      <c r="DC101" s="161"/>
      <c r="DD101" s="161"/>
    </row>
    <row r="102" spans="3:108" ht="12.75" customHeight="1">
      <c r="C102" s="140"/>
      <c r="D102" s="290"/>
      <c r="E102" s="290"/>
      <c r="F102" s="290"/>
      <c r="G102" s="290"/>
      <c r="H102" s="290"/>
      <c r="I102" s="290"/>
      <c r="J102" s="290"/>
      <c r="K102" s="290"/>
      <c r="L102" s="290"/>
      <c r="M102" s="290"/>
      <c r="N102" s="290"/>
      <c r="O102" s="292"/>
      <c r="P102" s="292"/>
      <c r="Q102" s="140"/>
      <c r="R102" s="291"/>
      <c r="S102" s="291"/>
      <c r="T102" s="291"/>
      <c r="U102" s="291"/>
      <c r="V102" s="291"/>
      <c r="W102" s="291"/>
      <c r="X102" s="291"/>
      <c r="Y102" s="291"/>
      <c r="Z102" s="291"/>
      <c r="AA102" s="291"/>
      <c r="AB102" s="291"/>
      <c r="AC102" s="291"/>
      <c r="AD102" s="291"/>
      <c r="AE102" s="291"/>
      <c r="AF102" s="291"/>
      <c r="AG102" s="291"/>
      <c r="AH102" s="291"/>
      <c r="AI102" s="292"/>
      <c r="AJ102" s="292"/>
      <c r="AK102" s="292"/>
      <c r="AL102" s="292"/>
      <c r="AM102" s="292"/>
      <c r="AN102" s="292"/>
      <c r="AO102" s="292"/>
      <c r="AP102" s="292"/>
      <c r="AQ102" s="292"/>
      <c r="AR102" s="292"/>
      <c r="AS102" s="292"/>
      <c r="AT102" s="292"/>
      <c r="AU102" s="292"/>
      <c r="AV102" s="292"/>
      <c r="AW102" s="292"/>
      <c r="AX102" s="292"/>
      <c r="AY102" s="292"/>
      <c r="AZ102" s="292"/>
      <c r="BA102" s="292"/>
      <c r="BB102" s="292"/>
      <c r="BD102" s="292"/>
      <c r="BE102" s="292"/>
      <c r="BF102" s="291"/>
      <c r="BG102" s="291"/>
      <c r="BH102" s="291"/>
      <c r="BI102" s="291"/>
      <c r="BJ102" s="292"/>
      <c r="BK102" s="292"/>
      <c r="BL102" s="291"/>
      <c r="BM102" s="291"/>
      <c r="BN102" s="291"/>
      <c r="BO102" s="291"/>
      <c r="BP102" s="291"/>
      <c r="BQ102" s="291"/>
      <c r="BR102" s="291"/>
      <c r="BS102" s="291"/>
      <c r="BT102" s="291"/>
      <c r="CX102" s="159"/>
      <c r="CY102" s="160"/>
      <c r="CZ102" s="160"/>
      <c r="DA102" s="161"/>
      <c r="DB102" s="161"/>
      <c r="DC102" s="161"/>
      <c r="DD102" s="161"/>
    </row>
    <row r="103" spans="3:108" ht="12.75" customHeight="1">
      <c r="C103" s="140"/>
      <c r="D103" s="296"/>
      <c r="E103" s="296"/>
      <c r="F103" s="296"/>
      <c r="G103" s="296"/>
      <c r="H103" s="296"/>
      <c r="I103" s="296"/>
      <c r="J103" s="296"/>
      <c r="K103" s="296"/>
      <c r="L103" s="296"/>
      <c r="M103" s="296"/>
      <c r="N103" s="296"/>
      <c r="O103" s="292"/>
      <c r="P103" s="292"/>
      <c r="Q103" s="140"/>
      <c r="R103" s="291"/>
      <c r="S103" s="291"/>
      <c r="T103" s="291"/>
      <c r="U103" s="291"/>
      <c r="V103" s="291"/>
      <c r="W103" s="291"/>
      <c r="X103" s="291"/>
      <c r="Y103" s="291"/>
      <c r="Z103" s="291"/>
      <c r="AA103" s="291"/>
      <c r="AB103" s="291"/>
      <c r="AC103" s="291"/>
      <c r="AD103" s="291"/>
      <c r="AE103" s="291"/>
      <c r="AF103" s="291"/>
      <c r="AG103" s="291"/>
      <c r="AH103" s="291"/>
      <c r="AI103" s="292"/>
      <c r="AJ103" s="292"/>
      <c r="AK103" s="292"/>
      <c r="AL103" s="292"/>
      <c r="AM103" s="292"/>
      <c r="AN103" s="292"/>
      <c r="AO103" s="292"/>
      <c r="AP103" s="292"/>
      <c r="AQ103" s="292"/>
      <c r="AR103" s="292"/>
      <c r="AS103" s="292"/>
      <c r="AT103" s="292"/>
      <c r="AU103" s="292"/>
      <c r="AV103" s="292"/>
      <c r="AW103" s="292"/>
      <c r="AX103" s="292"/>
      <c r="AY103" s="292"/>
      <c r="AZ103" s="292"/>
      <c r="BA103" s="292"/>
      <c r="BB103" s="292"/>
      <c r="BD103" s="292"/>
      <c r="BE103" s="292"/>
      <c r="BF103" s="291"/>
      <c r="BG103" s="291"/>
      <c r="BH103" s="291"/>
      <c r="BI103" s="291"/>
      <c r="BJ103" s="292"/>
      <c r="BK103" s="292"/>
      <c r="BL103" s="291"/>
      <c r="BM103" s="291"/>
      <c r="BN103" s="291"/>
      <c r="BO103" s="291"/>
      <c r="BP103" s="291"/>
      <c r="BQ103" s="291"/>
      <c r="BR103" s="291"/>
      <c r="BS103" s="291"/>
      <c r="BT103" s="291"/>
      <c r="CX103" s="162"/>
      <c r="CY103" s="163"/>
      <c r="CZ103" s="163"/>
      <c r="DA103" s="164"/>
      <c r="DB103" s="164"/>
      <c r="DC103" s="164"/>
      <c r="DD103" s="164"/>
    </row>
    <row r="104" spans="3:108" ht="12.75" customHeight="1">
      <c r="C104" s="140"/>
      <c r="D104" s="290"/>
      <c r="E104" s="290"/>
      <c r="F104" s="290"/>
      <c r="G104" s="290"/>
      <c r="H104" s="290"/>
      <c r="I104" s="290"/>
      <c r="J104" s="290"/>
      <c r="K104" s="290"/>
      <c r="L104" s="290"/>
      <c r="M104" s="290"/>
      <c r="N104" s="290"/>
      <c r="O104" s="292"/>
      <c r="P104" s="292"/>
      <c r="Q104" s="140"/>
      <c r="R104" s="291"/>
      <c r="S104" s="291"/>
      <c r="T104" s="291"/>
      <c r="U104" s="291"/>
      <c r="V104" s="291"/>
      <c r="W104" s="291"/>
      <c r="X104" s="291"/>
      <c r="Y104" s="291"/>
      <c r="Z104" s="291"/>
      <c r="AA104" s="291"/>
      <c r="AB104" s="291"/>
      <c r="AC104" s="291"/>
      <c r="AD104" s="291"/>
      <c r="AE104" s="291"/>
      <c r="AF104" s="291"/>
      <c r="AG104" s="291"/>
      <c r="AH104" s="291"/>
      <c r="AI104" s="291"/>
      <c r="AJ104" s="291"/>
      <c r="AK104" s="291"/>
      <c r="AL104" s="292"/>
      <c r="AM104" s="292"/>
      <c r="AN104" s="292"/>
      <c r="AO104" s="292"/>
      <c r="AP104" s="292"/>
      <c r="AQ104" s="292"/>
      <c r="AR104" s="292"/>
      <c r="AS104" s="292"/>
      <c r="AT104" s="292"/>
      <c r="AU104" s="292"/>
      <c r="AV104" s="292"/>
      <c r="AW104" s="292"/>
      <c r="AX104" s="292"/>
      <c r="AY104" s="292"/>
      <c r="AZ104" s="292"/>
      <c r="BA104" s="292"/>
      <c r="BB104" s="292"/>
      <c r="BD104" s="292"/>
      <c r="BE104" s="292"/>
      <c r="BF104" s="291"/>
      <c r="BG104" s="291"/>
      <c r="BH104" s="291"/>
      <c r="BI104" s="291"/>
      <c r="BJ104" s="291"/>
      <c r="BK104" s="291"/>
      <c r="BL104" s="291"/>
      <c r="BM104" s="291"/>
      <c r="BN104" s="291"/>
      <c r="BO104" s="291"/>
      <c r="BP104" s="291"/>
      <c r="BQ104" s="291"/>
      <c r="BR104" s="291"/>
      <c r="BS104" s="291"/>
      <c r="BT104" s="291"/>
      <c r="CX104" s="159"/>
      <c r="CY104" s="160"/>
      <c r="CZ104" s="160"/>
      <c r="DA104" s="161"/>
      <c r="DB104" s="161"/>
      <c r="DC104" s="161"/>
      <c r="DD104" s="161"/>
    </row>
    <row r="105" spans="3:108" ht="12.75" customHeight="1">
      <c r="C105" s="140"/>
      <c r="D105" s="290"/>
      <c r="E105" s="290"/>
      <c r="F105" s="290"/>
      <c r="G105" s="290"/>
      <c r="H105" s="290"/>
      <c r="I105" s="290"/>
      <c r="J105" s="290"/>
      <c r="K105" s="290"/>
      <c r="L105" s="290"/>
      <c r="M105" s="290"/>
      <c r="N105" s="290"/>
      <c r="O105" s="292"/>
      <c r="P105" s="292"/>
      <c r="Q105" s="140"/>
      <c r="R105" s="291"/>
      <c r="S105" s="291"/>
      <c r="T105" s="291"/>
      <c r="U105" s="291"/>
      <c r="V105" s="291"/>
      <c r="W105" s="291"/>
      <c r="X105" s="291"/>
      <c r="Y105" s="291"/>
      <c r="Z105" s="291"/>
      <c r="AA105" s="291"/>
      <c r="AB105" s="291"/>
      <c r="AC105" s="291"/>
      <c r="AD105" s="291"/>
      <c r="AE105" s="291"/>
      <c r="AF105" s="291"/>
      <c r="AG105" s="291"/>
      <c r="AH105" s="291"/>
      <c r="AI105" s="292"/>
      <c r="AJ105" s="292"/>
      <c r="AK105" s="292"/>
      <c r="AL105" s="292"/>
      <c r="AM105" s="292"/>
      <c r="AN105" s="292"/>
      <c r="AO105" s="292"/>
      <c r="AP105" s="292"/>
      <c r="AQ105" s="292"/>
      <c r="AR105" s="292"/>
      <c r="AS105" s="292"/>
      <c r="AT105" s="292"/>
      <c r="AU105" s="292"/>
      <c r="AV105" s="292"/>
      <c r="AW105" s="292"/>
      <c r="AX105" s="292"/>
      <c r="AY105" s="292"/>
      <c r="AZ105" s="292"/>
      <c r="BA105" s="292"/>
      <c r="BB105" s="292"/>
      <c r="BD105" s="292"/>
      <c r="BE105" s="292"/>
      <c r="BF105" s="291"/>
      <c r="BG105" s="291"/>
      <c r="BH105" s="291"/>
      <c r="BI105" s="291"/>
      <c r="BJ105" s="292"/>
      <c r="BK105" s="292"/>
      <c r="BL105" s="291"/>
      <c r="BM105" s="291"/>
      <c r="BN105" s="291"/>
      <c r="BO105" s="291"/>
      <c r="BP105" s="291"/>
      <c r="BQ105" s="291"/>
      <c r="BR105" s="291"/>
      <c r="BS105" s="291"/>
      <c r="BT105" s="291"/>
      <c r="CX105" s="159"/>
      <c r="CY105" s="160"/>
      <c r="CZ105" s="160"/>
      <c r="DA105" s="161"/>
      <c r="DB105" s="161"/>
      <c r="DC105" s="161"/>
      <c r="DD105" s="161"/>
    </row>
    <row r="106" spans="3:108" ht="12.75" customHeight="1">
      <c r="C106" s="140"/>
      <c r="D106" s="290"/>
      <c r="E106" s="290"/>
      <c r="F106" s="290"/>
      <c r="G106" s="290"/>
      <c r="H106" s="290"/>
      <c r="I106" s="290"/>
      <c r="J106" s="290"/>
      <c r="K106" s="290"/>
      <c r="L106" s="290"/>
      <c r="M106" s="290"/>
      <c r="N106" s="290"/>
      <c r="O106" s="292"/>
      <c r="P106" s="292"/>
      <c r="Q106" s="140"/>
      <c r="R106" s="291"/>
      <c r="S106" s="291"/>
      <c r="T106" s="291"/>
      <c r="U106" s="291"/>
      <c r="V106" s="291"/>
      <c r="W106" s="291"/>
      <c r="X106" s="291"/>
      <c r="Y106" s="291"/>
      <c r="Z106" s="291"/>
      <c r="AA106" s="291"/>
      <c r="AB106" s="291"/>
      <c r="AC106" s="291"/>
      <c r="AD106" s="291"/>
      <c r="AE106" s="291"/>
      <c r="AF106" s="291"/>
      <c r="AG106" s="291"/>
      <c r="AH106" s="291"/>
      <c r="AI106" s="291"/>
      <c r="AJ106" s="291"/>
      <c r="AK106" s="291"/>
      <c r="AL106" s="292"/>
      <c r="AM106" s="292"/>
      <c r="AN106" s="292"/>
      <c r="AO106" s="292"/>
      <c r="AP106" s="292"/>
      <c r="AQ106" s="292"/>
      <c r="AR106" s="292"/>
      <c r="AS106" s="292"/>
      <c r="AT106" s="292"/>
      <c r="AU106" s="292"/>
      <c r="AV106" s="292"/>
      <c r="AW106" s="292"/>
      <c r="AX106" s="292"/>
      <c r="AY106" s="292"/>
      <c r="AZ106" s="292"/>
      <c r="BA106" s="292"/>
      <c r="BB106" s="292"/>
      <c r="BD106" s="292"/>
      <c r="BE106" s="292"/>
      <c r="BF106" s="291"/>
      <c r="BG106" s="291"/>
      <c r="BH106" s="291"/>
      <c r="BI106" s="291"/>
      <c r="BJ106" s="291"/>
      <c r="BK106" s="291"/>
      <c r="BL106" s="291"/>
      <c r="BM106" s="291"/>
      <c r="BN106" s="291"/>
      <c r="BO106" s="291"/>
      <c r="BP106" s="291"/>
      <c r="BQ106" s="291"/>
      <c r="BR106" s="291"/>
      <c r="BS106" s="291"/>
      <c r="BT106" s="291"/>
      <c r="CX106" s="159"/>
      <c r="CY106" s="160"/>
      <c r="CZ106" s="160"/>
      <c r="DA106" s="161"/>
      <c r="DB106" s="161"/>
      <c r="DC106" s="161"/>
      <c r="DD106" s="161"/>
    </row>
    <row r="107" spans="3:108" ht="12.75" customHeight="1">
      <c r="C107" s="147"/>
      <c r="D107" s="295"/>
      <c r="E107" s="295"/>
      <c r="F107" s="295"/>
      <c r="G107" s="295"/>
      <c r="H107" s="295"/>
      <c r="I107" s="295"/>
      <c r="J107" s="295"/>
      <c r="K107" s="295"/>
      <c r="L107" s="295"/>
      <c r="M107" s="295"/>
      <c r="N107" s="295"/>
      <c r="O107" s="294"/>
      <c r="P107" s="294"/>
      <c r="Q107" s="147"/>
      <c r="R107" s="293"/>
      <c r="S107" s="293"/>
      <c r="T107" s="293"/>
      <c r="U107" s="293"/>
      <c r="V107" s="293"/>
      <c r="W107" s="293"/>
      <c r="X107" s="293"/>
      <c r="Y107" s="293"/>
      <c r="Z107" s="293"/>
      <c r="AA107" s="293"/>
      <c r="AB107" s="293"/>
      <c r="AC107" s="293"/>
      <c r="AD107" s="293"/>
      <c r="AE107" s="293"/>
      <c r="AF107" s="293"/>
      <c r="AG107" s="293"/>
      <c r="AH107" s="293"/>
      <c r="AI107" s="293"/>
      <c r="AJ107" s="293"/>
      <c r="AK107" s="293"/>
      <c r="AL107" s="294"/>
      <c r="AM107" s="294"/>
      <c r="AN107" s="294"/>
      <c r="AO107" s="294"/>
      <c r="AP107" s="294"/>
      <c r="AQ107" s="294"/>
      <c r="AR107" s="294"/>
      <c r="AS107" s="294"/>
      <c r="AT107" s="294"/>
      <c r="AU107" s="294"/>
      <c r="AV107" s="294"/>
      <c r="AW107" s="294"/>
      <c r="AX107" s="294"/>
      <c r="AY107" s="294"/>
      <c r="AZ107" s="294"/>
      <c r="BA107" s="294"/>
      <c r="BB107" s="294"/>
      <c r="BD107" s="294"/>
      <c r="BE107" s="294"/>
      <c r="BF107" s="293"/>
      <c r="BG107" s="293"/>
      <c r="BH107" s="293"/>
      <c r="BI107" s="293"/>
      <c r="BJ107" s="293"/>
      <c r="BK107" s="293"/>
      <c r="BL107" s="293"/>
      <c r="BM107" s="293"/>
      <c r="BN107" s="293"/>
      <c r="BO107" s="293"/>
      <c r="BP107" s="293"/>
      <c r="BQ107" s="293"/>
      <c r="BR107" s="293"/>
      <c r="BS107" s="293"/>
      <c r="BT107" s="293"/>
      <c r="CX107" s="159"/>
      <c r="CY107" s="160"/>
      <c r="CZ107" s="160"/>
      <c r="DA107" s="161"/>
      <c r="DB107" s="161"/>
      <c r="DC107" s="161"/>
      <c r="DD107" s="161"/>
    </row>
    <row r="108" spans="3:108" ht="12.75" customHeight="1">
      <c r="C108" s="140"/>
      <c r="D108" s="290"/>
      <c r="E108" s="290"/>
      <c r="F108" s="290"/>
      <c r="G108" s="290"/>
      <c r="H108" s="290"/>
      <c r="I108" s="290"/>
      <c r="J108" s="290"/>
      <c r="K108" s="290"/>
      <c r="L108" s="290"/>
      <c r="M108" s="290"/>
      <c r="N108" s="290"/>
      <c r="O108" s="292"/>
      <c r="P108" s="292"/>
      <c r="Q108" s="140"/>
      <c r="R108" s="291"/>
      <c r="S108" s="291"/>
      <c r="T108" s="291"/>
      <c r="U108" s="291"/>
      <c r="V108" s="291"/>
      <c r="W108" s="291"/>
      <c r="X108" s="291"/>
      <c r="Y108" s="291"/>
      <c r="Z108" s="291"/>
      <c r="AA108" s="291"/>
      <c r="AB108" s="291"/>
      <c r="AC108" s="291"/>
      <c r="AD108" s="291"/>
      <c r="AE108" s="291"/>
      <c r="AF108" s="291"/>
      <c r="AG108" s="291"/>
      <c r="AH108" s="291"/>
      <c r="AI108" s="291"/>
      <c r="AJ108" s="291"/>
      <c r="AK108" s="291"/>
      <c r="AL108" s="292"/>
      <c r="AM108" s="292"/>
      <c r="AN108" s="292"/>
      <c r="AO108" s="292"/>
      <c r="AP108" s="292"/>
      <c r="AQ108" s="292"/>
      <c r="AR108" s="292"/>
      <c r="AS108" s="292"/>
      <c r="AT108" s="292"/>
      <c r="AU108" s="292"/>
      <c r="AV108" s="292"/>
      <c r="AW108" s="292"/>
      <c r="AX108" s="292"/>
      <c r="AY108" s="292"/>
      <c r="AZ108" s="292"/>
      <c r="BA108" s="292"/>
      <c r="BB108" s="292"/>
      <c r="BD108" s="292"/>
      <c r="BE108" s="292"/>
      <c r="BF108" s="291"/>
      <c r="BG108" s="291"/>
      <c r="BH108" s="291"/>
      <c r="BI108" s="291"/>
      <c r="BJ108" s="291"/>
      <c r="BK108" s="291"/>
      <c r="BL108" s="291"/>
      <c r="BM108" s="291"/>
      <c r="BN108" s="291"/>
      <c r="BO108" s="291"/>
      <c r="BP108" s="291"/>
      <c r="BQ108" s="291"/>
      <c r="BR108" s="291"/>
      <c r="BS108" s="291"/>
      <c r="BT108" s="291"/>
      <c r="CX108" s="159"/>
      <c r="CY108" s="160"/>
      <c r="CZ108" s="160"/>
      <c r="DA108" s="161"/>
      <c r="DB108" s="161"/>
      <c r="DC108" s="161"/>
      <c r="DD108" s="161"/>
    </row>
    <row r="109" spans="3:108" ht="12.75" customHeight="1">
      <c r="C109" s="140"/>
      <c r="D109" s="290"/>
      <c r="E109" s="290"/>
      <c r="F109" s="290"/>
      <c r="G109" s="290"/>
      <c r="H109" s="290"/>
      <c r="I109" s="290"/>
      <c r="J109" s="290"/>
      <c r="K109" s="290"/>
      <c r="L109" s="290"/>
      <c r="M109" s="290"/>
      <c r="N109" s="290"/>
      <c r="O109" s="292"/>
      <c r="P109" s="292"/>
      <c r="Q109" s="140"/>
      <c r="R109" s="291"/>
      <c r="S109" s="291"/>
      <c r="T109" s="291"/>
      <c r="U109" s="291"/>
      <c r="V109" s="291"/>
      <c r="W109" s="291"/>
      <c r="X109" s="291"/>
      <c r="Y109" s="291"/>
      <c r="Z109" s="291"/>
      <c r="AA109" s="291"/>
      <c r="AB109" s="291"/>
      <c r="AC109" s="291"/>
      <c r="AD109" s="291"/>
      <c r="AE109" s="291"/>
      <c r="AF109" s="291"/>
      <c r="AG109" s="291"/>
      <c r="AH109" s="291"/>
      <c r="AI109" s="291"/>
      <c r="AJ109" s="291"/>
      <c r="AK109" s="291"/>
      <c r="AL109" s="292"/>
      <c r="AM109" s="292"/>
      <c r="AN109" s="292"/>
      <c r="AO109" s="292"/>
      <c r="AP109" s="292"/>
      <c r="AQ109" s="292"/>
      <c r="AR109" s="292"/>
      <c r="AS109" s="292"/>
      <c r="AT109" s="292"/>
      <c r="AU109" s="292"/>
      <c r="AV109" s="292"/>
      <c r="AW109" s="292"/>
      <c r="AX109" s="292"/>
      <c r="AY109" s="292"/>
      <c r="AZ109" s="292"/>
      <c r="BA109" s="292"/>
      <c r="BB109" s="292"/>
      <c r="BD109" s="292"/>
      <c r="BE109" s="292"/>
      <c r="BF109" s="291"/>
      <c r="BG109" s="291"/>
      <c r="BH109" s="291"/>
      <c r="BI109" s="291"/>
      <c r="BJ109" s="291"/>
      <c r="BK109" s="291"/>
      <c r="BL109" s="291"/>
      <c r="BM109" s="291"/>
      <c r="BN109" s="291"/>
      <c r="BO109" s="291"/>
      <c r="BP109" s="291"/>
      <c r="BQ109" s="291"/>
      <c r="BR109" s="291"/>
      <c r="BS109" s="291"/>
      <c r="BT109" s="291"/>
      <c r="CX109" s="162"/>
      <c r="CY109" s="163"/>
      <c r="CZ109" s="163"/>
      <c r="DA109" s="164"/>
      <c r="DB109" s="164"/>
      <c r="DC109" s="164"/>
      <c r="DD109" s="164"/>
    </row>
    <row r="110" spans="3:108" ht="12.75" customHeight="1">
      <c r="C110" s="140"/>
      <c r="D110" s="290"/>
      <c r="E110" s="290"/>
      <c r="F110" s="290"/>
      <c r="G110" s="290"/>
      <c r="H110" s="290"/>
      <c r="I110" s="290"/>
      <c r="J110" s="290"/>
      <c r="K110" s="290"/>
      <c r="L110" s="290"/>
      <c r="M110" s="290"/>
      <c r="N110" s="290"/>
      <c r="O110" s="292"/>
      <c r="P110" s="292"/>
      <c r="Q110" s="140"/>
      <c r="R110" s="291"/>
      <c r="S110" s="291"/>
      <c r="T110" s="291"/>
      <c r="U110" s="291"/>
      <c r="V110" s="291"/>
      <c r="W110" s="291"/>
      <c r="X110" s="291"/>
      <c r="Y110" s="291"/>
      <c r="Z110" s="291"/>
      <c r="AA110" s="291"/>
      <c r="AB110" s="291"/>
      <c r="AC110" s="291"/>
      <c r="AD110" s="291"/>
      <c r="AE110" s="291"/>
      <c r="AF110" s="291"/>
      <c r="AG110" s="291"/>
      <c r="AH110" s="291"/>
      <c r="AI110" s="291"/>
      <c r="AJ110" s="291"/>
      <c r="AK110" s="291"/>
      <c r="AL110" s="292"/>
      <c r="AM110" s="292"/>
      <c r="AN110" s="292"/>
      <c r="AO110" s="292"/>
      <c r="AP110" s="292"/>
      <c r="AQ110" s="292"/>
      <c r="AR110" s="292"/>
      <c r="AS110" s="292"/>
      <c r="AT110" s="292"/>
      <c r="AU110" s="292"/>
      <c r="AV110" s="292"/>
      <c r="AW110" s="292"/>
      <c r="AX110" s="292"/>
      <c r="AY110" s="292"/>
      <c r="AZ110" s="292"/>
      <c r="BA110" s="292"/>
      <c r="BB110" s="292"/>
      <c r="BD110" s="292"/>
      <c r="BE110" s="292"/>
      <c r="BF110" s="291"/>
      <c r="BG110" s="291"/>
      <c r="BH110" s="291"/>
      <c r="BI110" s="291"/>
      <c r="BJ110" s="291"/>
      <c r="BK110" s="291"/>
      <c r="BL110" s="291"/>
      <c r="BM110" s="291"/>
      <c r="BN110" s="291"/>
      <c r="BO110" s="291"/>
      <c r="BP110" s="291"/>
      <c r="BQ110" s="291"/>
      <c r="BR110" s="291"/>
      <c r="BS110" s="291"/>
      <c r="BT110" s="291"/>
      <c r="CX110" s="159"/>
      <c r="CY110" s="160"/>
      <c r="CZ110" s="160"/>
      <c r="DA110" s="161"/>
      <c r="DB110" s="161"/>
      <c r="DC110" s="161"/>
      <c r="DD110" s="161"/>
    </row>
    <row r="111" spans="3:108" ht="12.75" customHeight="1">
      <c r="C111" s="140"/>
      <c r="D111" s="290"/>
      <c r="E111" s="290"/>
      <c r="F111" s="290"/>
      <c r="G111" s="290"/>
      <c r="H111" s="290"/>
      <c r="I111" s="290"/>
      <c r="J111" s="290"/>
      <c r="K111" s="290"/>
      <c r="L111" s="290"/>
      <c r="M111" s="290"/>
      <c r="N111" s="290"/>
      <c r="O111" s="292"/>
      <c r="P111" s="292"/>
      <c r="Q111" s="140"/>
      <c r="R111" s="291"/>
      <c r="S111" s="291"/>
      <c r="T111" s="291"/>
      <c r="U111" s="291"/>
      <c r="V111" s="291"/>
      <c r="W111" s="291"/>
      <c r="X111" s="291"/>
      <c r="Y111" s="291"/>
      <c r="Z111" s="291"/>
      <c r="AA111" s="291"/>
      <c r="AB111" s="291"/>
      <c r="AC111" s="291"/>
      <c r="AD111" s="291"/>
      <c r="AE111" s="291"/>
      <c r="AF111" s="291"/>
      <c r="AG111" s="291"/>
      <c r="AH111" s="291"/>
      <c r="AI111" s="291"/>
      <c r="AJ111" s="291"/>
      <c r="AK111" s="291"/>
      <c r="AL111" s="292"/>
      <c r="AM111" s="292"/>
      <c r="AN111" s="292"/>
      <c r="AO111" s="292"/>
      <c r="AP111" s="292"/>
      <c r="AQ111" s="292"/>
      <c r="AR111" s="292"/>
      <c r="AS111" s="292"/>
      <c r="AT111" s="292"/>
      <c r="AU111" s="292"/>
      <c r="AV111" s="292"/>
      <c r="AW111" s="292"/>
      <c r="AX111" s="292"/>
      <c r="AY111" s="292"/>
      <c r="AZ111" s="292"/>
      <c r="BA111" s="292"/>
      <c r="BB111" s="292"/>
      <c r="BD111" s="292"/>
      <c r="BE111" s="292"/>
      <c r="BF111" s="291"/>
      <c r="BG111" s="291"/>
      <c r="BH111" s="291"/>
      <c r="BI111" s="291"/>
      <c r="BJ111" s="291"/>
      <c r="BK111" s="291"/>
      <c r="BL111" s="291"/>
      <c r="BM111" s="291"/>
      <c r="BN111" s="291"/>
      <c r="BO111" s="291"/>
      <c r="BP111" s="291"/>
      <c r="BQ111" s="291"/>
      <c r="BR111" s="291"/>
      <c r="BS111" s="291"/>
      <c r="BT111" s="291"/>
      <c r="CX111" s="159"/>
      <c r="CY111" s="160"/>
      <c r="CZ111" s="160"/>
      <c r="DA111" s="161"/>
      <c r="DB111" s="161"/>
      <c r="DC111" s="161"/>
      <c r="DD111" s="161"/>
    </row>
    <row r="112" spans="3:108" ht="12.75" customHeight="1">
      <c r="C112" s="140"/>
      <c r="D112" s="290"/>
      <c r="E112" s="290"/>
      <c r="F112" s="290"/>
      <c r="G112" s="290"/>
      <c r="H112" s="290"/>
      <c r="I112" s="290"/>
      <c r="J112" s="290"/>
      <c r="K112" s="290"/>
      <c r="L112" s="290"/>
      <c r="M112" s="290"/>
      <c r="N112" s="290"/>
      <c r="O112" s="292"/>
      <c r="P112" s="292"/>
      <c r="Q112" s="140"/>
      <c r="R112" s="291"/>
      <c r="S112" s="291"/>
      <c r="T112" s="291"/>
      <c r="U112" s="291"/>
      <c r="V112" s="291"/>
      <c r="W112" s="291"/>
      <c r="X112" s="291"/>
      <c r="Y112" s="291"/>
      <c r="Z112" s="291"/>
      <c r="AA112" s="291"/>
      <c r="AB112" s="291"/>
      <c r="AC112" s="291"/>
      <c r="AD112" s="291"/>
      <c r="AE112" s="291"/>
      <c r="AF112" s="291"/>
      <c r="AG112" s="291"/>
      <c r="AH112" s="291"/>
      <c r="AI112" s="291"/>
      <c r="AJ112" s="291"/>
      <c r="AK112" s="291"/>
      <c r="AL112" s="292"/>
      <c r="AM112" s="292"/>
      <c r="AN112" s="292"/>
      <c r="AO112" s="292"/>
      <c r="AP112" s="292"/>
      <c r="AQ112" s="292"/>
      <c r="AR112" s="292"/>
      <c r="AS112" s="292"/>
      <c r="AT112" s="292"/>
      <c r="AU112" s="292"/>
      <c r="AV112" s="292"/>
      <c r="AW112" s="292"/>
      <c r="AX112" s="292"/>
      <c r="AY112" s="292"/>
      <c r="AZ112" s="292"/>
      <c r="BA112" s="292"/>
      <c r="BB112" s="292"/>
      <c r="BD112" s="292"/>
      <c r="BE112" s="292"/>
      <c r="BF112" s="291"/>
      <c r="BG112" s="291"/>
      <c r="BH112" s="291"/>
      <c r="BI112" s="291"/>
      <c r="BJ112" s="291"/>
      <c r="BK112" s="291"/>
      <c r="BL112" s="291"/>
      <c r="BM112" s="291"/>
      <c r="BN112" s="291"/>
      <c r="BO112" s="291"/>
      <c r="BP112" s="291"/>
      <c r="BQ112" s="291"/>
      <c r="BR112" s="291"/>
      <c r="BS112" s="291"/>
      <c r="BT112" s="291"/>
      <c r="CX112" s="159"/>
      <c r="CY112" s="160"/>
      <c r="CZ112" s="160"/>
      <c r="DA112" s="161"/>
      <c r="DB112" s="161"/>
      <c r="DC112" s="161"/>
      <c r="DD112" s="161"/>
    </row>
    <row r="113" spans="3:108" ht="12.75" customHeight="1">
      <c r="C113" s="147"/>
      <c r="D113" s="295"/>
      <c r="E113" s="295"/>
      <c r="F113" s="295"/>
      <c r="G113" s="295"/>
      <c r="H113" s="295"/>
      <c r="I113" s="295"/>
      <c r="J113" s="295"/>
      <c r="K113" s="295"/>
      <c r="L113" s="295"/>
      <c r="M113" s="295"/>
      <c r="N113" s="295"/>
      <c r="O113" s="294"/>
      <c r="P113" s="294"/>
      <c r="Q113" s="147"/>
      <c r="R113" s="293"/>
      <c r="S113" s="293"/>
      <c r="T113" s="293"/>
      <c r="U113" s="293"/>
      <c r="V113" s="293"/>
      <c r="W113" s="293"/>
      <c r="X113" s="293"/>
      <c r="Y113" s="293"/>
      <c r="Z113" s="293"/>
      <c r="AA113" s="293"/>
      <c r="AB113" s="293"/>
      <c r="AC113" s="293"/>
      <c r="AD113" s="293"/>
      <c r="AE113" s="293"/>
      <c r="AF113" s="293"/>
      <c r="AG113" s="293"/>
      <c r="AH113" s="293"/>
      <c r="AI113" s="293"/>
      <c r="AJ113" s="293"/>
      <c r="AK113" s="293"/>
      <c r="AL113" s="294"/>
      <c r="AM113" s="294"/>
      <c r="AN113" s="294"/>
      <c r="AO113" s="294"/>
      <c r="AP113" s="294"/>
      <c r="AQ113" s="294"/>
      <c r="AR113" s="294"/>
      <c r="AS113" s="294"/>
      <c r="AT113" s="294"/>
      <c r="AU113" s="294"/>
      <c r="AV113" s="294"/>
      <c r="AW113" s="294"/>
      <c r="AX113" s="294"/>
      <c r="AY113" s="294"/>
      <c r="AZ113" s="294"/>
      <c r="BA113" s="294"/>
      <c r="BB113" s="294"/>
      <c r="BD113" s="294"/>
      <c r="BE113" s="294"/>
      <c r="BF113" s="293"/>
      <c r="BG113" s="293"/>
      <c r="BH113" s="293"/>
      <c r="BI113" s="293"/>
      <c r="BJ113" s="293"/>
      <c r="BK113" s="293"/>
      <c r="BL113" s="293"/>
      <c r="BM113" s="293"/>
      <c r="BN113" s="293"/>
      <c r="BO113" s="293"/>
      <c r="BP113" s="293"/>
      <c r="BQ113" s="293"/>
      <c r="BR113" s="293"/>
      <c r="BS113" s="293"/>
      <c r="BT113" s="293"/>
      <c r="CX113" s="162"/>
      <c r="CY113" s="163"/>
      <c r="CZ113" s="163"/>
      <c r="DA113" s="164"/>
      <c r="DB113" s="164"/>
      <c r="DC113" s="164"/>
      <c r="DD113" s="164"/>
    </row>
    <row r="114" spans="3:108" ht="12.75" customHeight="1">
      <c r="C114" s="140"/>
      <c r="D114" s="290"/>
      <c r="E114" s="290"/>
      <c r="F114" s="290"/>
      <c r="G114" s="290"/>
      <c r="H114" s="290"/>
      <c r="I114" s="290"/>
      <c r="J114" s="290"/>
      <c r="K114" s="290"/>
      <c r="L114" s="290"/>
      <c r="M114" s="290"/>
      <c r="N114" s="290"/>
      <c r="O114" s="292"/>
      <c r="P114" s="292"/>
      <c r="Q114" s="140"/>
      <c r="R114" s="291"/>
      <c r="S114" s="291"/>
      <c r="T114" s="291"/>
      <c r="U114" s="291"/>
      <c r="V114" s="291"/>
      <c r="W114" s="291"/>
      <c r="X114" s="291"/>
      <c r="Y114" s="291"/>
      <c r="Z114" s="291"/>
      <c r="AA114" s="291"/>
      <c r="AB114" s="291"/>
      <c r="AC114" s="291"/>
      <c r="AD114" s="291"/>
      <c r="AE114" s="291"/>
      <c r="AF114" s="291"/>
      <c r="AG114" s="291"/>
      <c r="AH114" s="291"/>
      <c r="AI114" s="291"/>
      <c r="AJ114" s="291"/>
      <c r="AK114" s="291"/>
      <c r="AL114" s="292"/>
      <c r="AM114" s="292"/>
      <c r="AN114" s="292"/>
      <c r="AO114" s="292"/>
      <c r="AP114" s="292"/>
      <c r="AQ114" s="292"/>
      <c r="AR114" s="292"/>
      <c r="AS114" s="292"/>
      <c r="AT114" s="292"/>
      <c r="AU114" s="292"/>
      <c r="AV114" s="292"/>
      <c r="AW114" s="292"/>
      <c r="AX114" s="292"/>
      <c r="AY114" s="292"/>
      <c r="AZ114" s="292"/>
      <c r="BA114" s="292"/>
      <c r="BB114" s="292"/>
      <c r="BD114" s="292"/>
      <c r="BE114" s="292"/>
      <c r="BF114" s="291"/>
      <c r="BG114" s="291"/>
      <c r="BH114" s="291"/>
      <c r="BI114" s="291"/>
      <c r="BJ114" s="291"/>
      <c r="BK114" s="291"/>
      <c r="BL114" s="291"/>
      <c r="BM114" s="291"/>
      <c r="BN114" s="291"/>
      <c r="BO114" s="291"/>
      <c r="BP114" s="291"/>
      <c r="BQ114" s="291"/>
      <c r="BR114" s="291"/>
      <c r="BS114" s="291"/>
      <c r="BT114" s="291"/>
      <c r="CX114" s="162"/>
      <c r="CY114" s="163"/>
      <c r="CZ114" s="163"/>
      <c r="DA114" s="164"/>
      <c r="DB114" s="164"/>
      <c r="DC114" s="164"/>
      <c r="DD114" s="164"/>
    </row>
    <row r="115" spans="3:108" ht="12.75" customHeight="1">
      <c r="C115" s="140"/>
      <c r="D115" s="290"/>
      <c r="E115" s="290"/>
      <c r="F115" s="290"/>
      <c r="G115" s="290"/>
      <c r="H115" s="290"/>
      <c r="I115" s="290"/>
      <c r="J115" s="290"/>
      <c r="K115" s="290"/>
      <c r="L115" s="290"/>
      <c r="M115" s="290"/>
      <c r="N115" s="290"/>
      <c r="O115" s="292"/>
      <c r="P115" s="292"/>
      <c r="Q115" s="140"/>
      <c r="R115" s="291"/>
      <c r="S115" s="291"/>
      <c r="T115" s="291"/>
      <c r="U115" s="291"/>
      <c r="V115" s="291"/>
      <c r="W115" s="291"/>
      <c r="X115" s="291"/>
      <c r="Y115" s="291"/>
      <c r="Z115" s="291"/>
      <c r="AA115" s="291"/>
      <c r="AB115" s="291"/>
      <c r="AC115" s="291"/>
      <c r="AD115" s="291"/>
      <c r="AE115" s="291"/>
      <c r="AF115" s="291"/>
      <c r="AG115" s="291"/>
      <c r="AH115" s="291"/>
      <c r="AI115" s="291"/>
      <c r="AJ115" s="291"/>
      <c r="AK115" s="291"/>
      <c r="AL115" s="292"/>
      <c r="AM115" s="292"/>
      <c r="AN115" s="292"/>
      <c r="AO115" s="292"/>
      <c r="AP115" s="292"/>
      <c r="AQ115" s="292"/>
      <c r="AR115" s="292"/>
      <c r="AS115" s="292"/>
      <c r="AT115" s="292"/>
      <c r="AU115" s="292"/>
      <c r="AV115" s="292"/>
      <c r="AW115" s="292"/>
      <c r="AX115" s="292"/>
      <c r="AY115" s="292"/>
      <c r="AZ115" s="292"/>
      <c r="BA115" s="292"/>
      <c r="BB115" s="292"/>
      <c r="BD115" s="292"/>
      <c r="BE115" s="292"/>
      <c r="BF115" s="291"/>
      <c r="BG115" s="291"/>
      <c r="BH115" s="291"/>
      <c r="BI115" s="291"/>
      <c r="BJ115" s="291"/>
      <c r="BK115" s="291"/>
      <c r="BL115" s="291"/>
      <c r="BM115" s="291"/>
      <c r="BN115" s="291"/>
      <c r="BO115" s="291"/>
      <c r="BP115" s="291"/>
      <c r="BQ115" s="291"/>
      <c r="BR115" s="291"/>
      <c r="BS115" s="291"/>
      <c r="BT115" s="291"/>
      <c r="CX115" s="159"/>
      <c r="CY115" s="160"/>
      <c r="CZ115" s="160"/>
      <c r="DA115" s="161"/>
      <c r="DB115" s="161"/>
      <c r="DC115" s="155"/>
      <c r="DD115" s="155"/>
    </row>
    <row r="116" spans="3:108" ht="12.75" customHeight="1">
      <c r="C116" s="140"/>
      <c r="D116" s="290"/>
      <c r="E116" s="290"/>
      <c r="F116" s="290"/>
      <c r="G116" s="290"/>
      <c r="H116" s="290"/>
      <c r="I116" s="290"/>
      <c r="J116" s="290"/>
      <c r="K116" s="290"/>
      <c r="L116" s="290"/>
      <c r="M116" s="290"/>
      <c r="N116" s="290"/>
      <c r="O116" s="292"/>
      <c r="P116" s="292"/>
      <c r="Q116" s="140"/>
      <c r="R116" s="291"/>
      <c r="S116" s="291"/>
      <c r="T116" s="291"/>
      <c r="U116" s="291"/>
      <c r="V116" s="291"/>
      <c r="W116" s="291"/>
      <c r="X116" s="291"/>
      <c r="Y116" s="291"/>
      <c r="Z116" s="291"/>
      <c r="AA116" s="291"/>
      <c r="AB116" s="291"/>
      <c r="AC116" s="291"/>
      <c r="AD116" s="291"/>
      <c r="AE116" s="291"/>
      <c r="AF116" s="291"/>
      <c r="AG116" s="291"/>
      <c r="AH116" s="291"/>
      <c r="AI116" s="291"/>
      <c r="AJ116" s="291"/>
      <c r="AK116" s="291"/>
      <c r="AL116" s="292"/>
      <c r="AM116" s="292"/>
      <c r="AN116" s="292"/>
      <c r="AO116" s="292"/>
      <c r="AP116" s="292"/>
      <c r="AQ116" s="292"/>
      <c r="AR116" s="292"/>
      <c r="AS116" s="292"/>
      <c r="AT116" s="292"/>
      <c r="AU116" s="292"/>
      <c r="AV116" s="292"/>
      <c r="AW116" s="292"/>
      <c r="AX116" s="292"/>
      <c r="AY116" s="292"/>
      <c r="AZ116" s="292"/>
      <c r="BA116" s="292"/>
      <c r="BB116" s="292"/>
      <c r="BD116" s="292"/>
      <c r="BE116" s="292"/>
      <c r="BF116" s="291"/>
      <c r="BG116" s="291"/>
      <c r="BH116" s="291"/>
      <c r="BI116" s="291"/>
      <c r="BJ116" s="291"/>
      <c r="BK116" s="291"/>
      <c r="BL116" s="291"/>
      <c r="BM116" s="291"/>
      <c r="BN116" s="291"/>
      <c r="BO116" s="291"/>
      <c r="BP116" s="291"/>
      <c r="BQ116" s="291"/>
      <c r="BR116" s="291"/>
      <c r="BS116" s="291"/>
      <c r="BT116" s="291"/>
      <c r="CX116" s="159"/>
      <c r="CY116" s="160"/>
      <c r="CZ116" s="160"/>
      <c r="DA116" s="161"/>
      <c r="DB116" s="161"/>
      <c r="DC116" s="155"/>
      <c r="DD116" s="155"/>
    </row>
    <row r="117" spans="3:108" ht="12.75" customHeight="1">
      <c r="C117" s="147"/>
      <c r="D117" s="295"/>
      <c r="E117" s="295"/>
      <c r="F117" s="295"/>
      <c r="G117" s="295"/>
      <c r="H117" s="295"/>
      <c r="I117" s="295"/>
      <c r="J117" s="295"/>
      <c r="K117" s="295"/>
      <c r="L117" s="295"/>
      <c r="M117" s="295"/>
      <c r="N117" s="295"/>
      <c r="O117" s="294"/>
      <c r="P117" s="294"/>
      <c r="Q117" s="147"/>
      <c r="R117" s="293"/>
      <c r="S117" s="293"/>
      <c r="T117" s="293"/>
      <c r="U117" s="293"/>
      <c r="V117" s="293"/>
      <c r="W117" s="293"/>
      <c r="X117" s="293"/>
      <c r="Y117" s="293"/>
      <c r="Z117" s="293"/>
      <c r="AA117" s="293"/>
      <c r="AB117" s="293"/>
      <c r="AC117" s="293"/>
      <c r="AD117" s="293"/>
      <c r="AE117" s="293"/>
      <c r="AF117" s="293"/>
      <c r="AG117" s="293"/>
      <c r="AH117" s="293"/>
      <c r="AI117" s="293"/>
      <c r="AJ117" s="293"/>
      <c r="AK117" s="293"/>
      <c r="AL117" s="294"/>
      <c r="AM117" s="294"/>
      <c r="AN117" s="294"/>
      <c r="AO117" s="294"/>
      <c r="AP117" s="294"/>
      <c r="AQ117" s="294"/>
      <c r="AR117" s="294"/>
      <c r="AS117" s="294"/>
      <c r="AT117" s="294"/>
      <c r="AU117" s="294"/>
      <c r="AV117" s="294"/>
      <c r="AW117" s="294"/>
      <c r="AX117" s="294"/>
      <c r="AY117" s="294"/>
      <c r="AZ117" s="294"/>
      <c r="BA117" s="294"/>
      <c r="BB117" s="294"/>
      <c r="BD117" s="294"/>
      <c r="BE117" s="294"/>
      <c r="BF117" s="293"/>
      <c r="BG117" s="293"/>
      <c r="BH117" s="293"/>
      <c r="BI117" s="293"/>
      <c r="BJ117" s="293"/>
      <c r="BK117" s="293"/>
      <c r="BL117" s="293"/>
      <c r="BM117" s="293"/>
      <c r="BN117" s="293"/>
      <c r="BO117" s="293"/>
      <c r="BP117" s="293"/>
      <c r="BQ117" s="293"/>
      <c r="BR117" s="293"/>
      <c r="BS117" s="293"/>
      <c r="BT117" s="293"/>
      <c r="CX117" s="159"/>
      <c r="CY117" s="160"/>
      <c r="CZ117" s="160"/>
      <c r="DA117" s="161"/>
      <c r="DB117" s="161"/>
      <c r="DC117" s="161"/>
      <c r="DD117" s="161"/>
    </row>
    <row r="118" spans="3:108" ht="12.75" customHeight="1">
      <c r="C118" s="147"/>
      <c r="D118" s="295"/>
      <c r="E118" s="295"/>
      <c r="F118" s="295"/>
      <c r="G118" s="295"/>
      <c r="H118" s="295"/>
      <c r="I118" s="295"/>
      <c r="J118" s="295"/>
      <c r="K118" s="295"/>
      <c r="L118" s="295"/>
      <c r="M118" s="295"/>
      <c r="N118" s="295"/>
      <c r="O118" s="294"/>
      <c r="P118" s="294"/>
      <c r="Q118" s="147"/>
      <c r="R118" s="293"/>
      <c r="S118" s="293"/>
      <c r="T118" s="293"/>
      <c r="U118" s="293"/>
      <c r="V118" s="293"/>
      <c r="W118" s="293"/>
      <c r="X118" s="293"/>
      <c r="Y118" s="293"/>
      <c r="Z118" s="293"/>
      <c r="AA118" s="293"/>
      <c r="AB118" s="293"/>
      <c r="AC118" s="293"/>
      <c r="AD118" s="293"/>
      <c r="AE118" s="293"/>
      <c r="AF118" s="293"/>
      <c r="AG118" s="293"/>
      <c r="AH118" s="293"/>
      <c r="AI118" s="293"/>
      <c r="AJ118" s="293"/>
      <c r="AK118" s="293"/>
      <c r="AL118" s="294"/>
      <c r="AM118" s="294"/>
      <c r="AN118" s="294"/>
      <c r="AO118" s="294"/>
      <c r="AP118" s="294"/>
      <c r="AQ118" s="294"/>
      <c r="AR118" s="294"/>
      <c r="AS118" s="294"/>
      <c r="AT118" s="294"/>
      <c r="AU118" s="294"/>
      <c r="AV118" s="294"/>
      <c r="AW118" s="294"/>
      <c r="AX118" s="294"/>
      <c r="AY118" s="294"/>
      <c r="AZ118" s="294"/>
      <c r="BA118" s="294"/>
      <c r="BB118" s="294"/>
      <c r="BD118" s="294"/>
      <c r="BE118" s="294"/>
      <c r="BF118" s="293"/>
      <c r="BG118" s="293"/>
      <c r="BH118" s="293"/>
      <c r="BI118" s="293"/>
      <c r="BJ118" s="293"/>
      <c r="BK118" s="293"/>
      <c r="BL118" s="293"/>
      <c r="BM118" s="293"/>
      <c r="BN118" s="293"/>
      <c r="BO118" s="293"/>
      <c r="BP118" s="293"/>
      <c r="BQ118" s="293"/>
      <c r="BR118" s="293"/>
      <c r="BS118" s="293"/>
      <c r="BT118" s="293"/>
      <c r="CX118" s="162"/>
      <c r="CY118" s="163"/>
      <c r="CZ118" s="163"/>
      <c r="DA118" s="164"/>
      <c r="DB118" s="164"/>
      <c r="DC118" s="164"/>
      <c r="DD118" s="164"/>
    </row>
    <row r="119" spans="3:108" ht="12.75" customHeight="1">
      <c r="C119" s="140"/>
      <c r="D119" s="290"/>
      <c r="E119" s="290"/>
      <c r="F119" s="290"/>
      <c r="G119" s="290"/>
      <c r="H119" s="290"/>
      <c r="I119" s="290"/>
      <c r="J119" s="290"/>
      <c r="K119" s="290"/>
      <c r="L119" s="290"/>
      <c r="M119" s="290"/>
      <c r="N119" s="290"/>
      <c r="O119" s="292"/>
      <c r="P119" s="292"/>
      <c r="Q119" s="140"/>
      <c r="R119" s="291"/>
      <c r="S119" s="291"/>
      <c r="T119" s="291"/>
      <c r="U119" s="291"/>
      <c r="V119" s="292"/>
      <c r="W119" s="292"/>
      <c r="X119" s="291"/>
      <c r="Y119" s="291"/>
      <c r="Z119" s="291"/>
      <c r="AA119" s="291"/>
      <c r="AB119" s="292"/>
      <c r="AC119" s="292"/>
      <c r="AD119" s="292"/>
      <c r="AE119" s="292"/>
      <c r="AF119" s="292"/>
      <c r="AG119" s="292"/>
      <c r="AH119" s="292"/>
      <c r="AI119" s="291"/>
      <c r="AJ119" s="291"/>
      <c r="AK119" s="291"/>
      <c r="AL119" s="292"/>
      <c r="AM119" s="292"/>
      <c r="AN119" s="292"/>
      <c r="AO119" s="292"/>
      <c r="AP119" s="292"/>
      <c r="AQ119" s="292"/>
      <c r="AR119" s="292"/>
      <c r="AS119" s="292"/>
      <c r="AT119" s="292"/>
      <c r="AU119" s="292"/>
      <c r="AV119" s="292"/>
      <c r="AW119" s="292"/>
      <c r="AX119" s="292"/>
      <c r="AY119" s="292"/>
      <c r="AZ119" s="292"/>
      <c r="BA119" s="292"/>
      <c r="BB119" s="292"/>
      <c r="BD119" s="292"/>
      <c r="BE119" s="292"/>
      <c r="BF119" s="291"/>
      <c r="BG119" s="291"/>
      <c r="BH119" s="291"/>
      <c r="BI119" s="291"/>
      <c r="BJ119" s="291"/>
      <c r="BK119" s="291"/>
      <c r="BL119" s="291"/>
      <c r="BM119" s="291"/>
      <c r="BN119" s="291"/>
      <c r="BO119" s="292"/>
      <c r="BP119" s="292"/>
      <c r="BQ119" s="292"/>
      <c r="BR119" s="292"/>
      <c r="BS119" s="292"/>
      <c r="BT119" s="292"/>
      <c r="CX119" s="159"/>
      <c r="CY119" s="160"/>
      <c r="CZ119" s="160"/>
      <c r="DA119" s="161"/>
      <c r="DB119" s="161"/>
      <c r="DC119" s="161"/>
      <c r="DD119" s="161"/>
    </row>
    <row r="120" spans="3:108" ht="12.75" customHeight="1">
      <c r="C120" s="140"/>
      <c r="D120" s="290"/>
      <c r="E120" s="290"/>
      <c r="F120" s="290"/>
      <c r="G120" s="290"/>
      <c r="H120" s="290"/>
      <c r="I120" s="290"/>
      <c r="J120" s="290"/>
      <c r="K120" s="290"/>
      <c r="L120" s="290"/>
      <c r="M120" s="290"/>
      <c r="N120" s="290"/>
      <c r="O120" s="292"/>
      <c r="P120" s="292"/>
      <c r="Q120" s="140"/>
      <c r="R120" s="291"/>
      <c r="S120" s="291"/>
      <c r="T120" s="291"/>
      <c r="U120" s="291"/>
      <c r="V120" s="292"/>
      <c r="W120" s="292"/>
      <c r="X120" s="291"/>
      <c r="Y120" s="291"/>
      <c r="Z120" s="291"/>
      <c r="AA120" s="291"/>
      <c r="AB120" s="292"/>
      <c r="AC120" s="292"/>
      <c r="AD120" s="292"/>
      <c r="AE120" s="292"/>
      <c r="AF120" s="292"/>
      <c r="AG120" s="292"/>
      <c r="AH120" s="292"/>
      <c r="AI120" s="291"/>
      <c r="AJ120" s="291"/>
      <c r="AK120" s="291"/>
      <c r="AL120" s="292"/>
      <c r="AM120" s="292"/>
      <c r="AN120" s="292"/>
      <c r="AO120" s="292"/>
      <c r="AP120" s="292"/>
      <c r="AQ120" s="292"/>
      <c r="AR120" s="292"/>
      <c r="AS120" s="292"/>
      <c r="AT120" s="292"/>
      <c r="AU120" s="292"/>
      <c r="AV120" s="292"/>
      <c r="AW120" s="292"/>
      <c r="AX120" s="292"/>
      <c r="AY120" s="292"/>
      <c r="AZ120" s="292"/>
      <c r="BA120" s="292"/>
      <c r="BB120" s="292"/>
      <c r="BD120" s="292"/>
      <c r="BE120" s="292"/>
      <c r="BF120" s="291"/>
      <c r="BG120" s="291"/>
      <c r="BH120" s="291"/>
      <c r="BI120" s="291"/>
      <c r="BJ120" s="291"/>
      <c r="BK120" s="291"/>
      <c r="BL120" s="291"/>
      <c r="BM120" s="291"/>
      <c r="BN120" s="291"/>
      <c r="BO120" s="292"/>
      <c r="BP120" s="292"/>
      <c r="BQ120" s="292"/>
      <c r="BR120" s="292"/>
      <c r="BS120" s="292"/>
      <c r="BT120" s="292"/>
      <c r="CX120" s="165"/>
      <c r="CY120" s="166"/>
      <c r="CZ120" s="166"/>
      <c r="DA120" s="167"/>
      <c r="DB120" s="167"/>
      <c r="DC120" s="167"/>
      <c r="DD120" s="167"/>
    </row>
    <row r="121" spans="3:108" ht="12.75" customHeight="1">
      <c r="C121" s="140"/>
      <c r="D121" s="290"/>
      <c r="E121" s="290"/>
      <c r="F121" s="290"/>
      <c r="G121" s="290"/>
      <c r="H121" s="290"/>
      <c r="I121" s="290"/>
      <c r="J121" s="290"/>
      <c r="K121" s="290"/>
      <c r="L121" s="290"/>
      <c r="M121" s="290"/>
      <c r="N121" s="290"/>
      <c r="O121" s="292"/>
      <c r="P121" s="292"/>
      <c r="Q121" s="140"/>
      <c r="R121" s="291"/>
      <c r="S121" s="291"/>
      <c r="T121" s="291"/>
      <c r="U121" s="291"/>
      <c r="V121" s="291"/>
      <c r="W121" s="291"/>
      <c r="X121" s="291"/>
      <c r="Y121" s="291"/>
      <c r="Z121" s="291"/>
      <c r="AA121" s="291"/>
      <c r="AB121" s="291"/>
      <c r="AC121" s="291"/>
      <c r="AD121" s="291"/>
      <c r="AE121" s="291"/>
      <c r="AF121" s="291"/>
      <c r="AG121" s="291"/>
      <c r="AH121" s="291"/>
      <c r="AI121" s="291"/>
      <c r="AJ121" s="291"/>
      <c r="AK121" s="291"/>
      <c r="AL121" s="292"/>
      <c r="AM121" s="292"/>
      <c r="AN121" s="292"/>
      <c r="AO121" s="292"/>
      <c r="AP121" s="292"/>
      <c r="AQ121" s="292"/>
      <c r="AR121" s="292"/>
      <c r="AS121" s="292"/>
      <c r="AT121" s="292"/>
      <c r="AU121" s="292"/>
      <c r="AV121" s="292"/>
      <c r="AW121" s="292"/>
      <c r="AX121" s="292"/>
      <c r="AY121" s="292"/>
      <c r="AZ121" s="292"/>
      <c r="BA121" s="292"/>
      <c r="BB121" s="292"/>
      <c r="BD121" s="292"/>
      <c r="BE121" s="292"/>
      <c r="BF121" s="291"/>
      <c r="BG121" s="291"/>
      <c r="BH121" s="291"/>
      <c r="BI121" s="291"/>
      <c r="BJ121" s="291"/>
      <c r="BK121" s="291"/>
      <c r="BL121" s="291"/>
      <c r="BM121" s="291"/>
      <c r="BN121" s="291"/>
      <c r="BO121" s="291"/>
      <c r="BP121" s="291"/>
      <c r="BQ121" s="291"/>
      <c r="BR121" s="291"/>
      <c r="BS121" s="291"/>
      <c r="BT121" s="291"/>
      <c r="CX121" s="165"/>
      <c r="CY121" s="166"/>
      <c r="CZ121" s="166"/>
      <c r="DA121" s="167"/>
      <c r="DB121" s="167"/>
      <c r="DC121" s="167"/>
      <c r="DD121" s="167"/>
    </row>
    <row r="122" spans="3:108" ht="12.75" customHeight="1">
      <c r="C122" s="147"/>
      <c r="D122" s="295"/>
      <c r="E122" s="295"/>
      <c r="F122" s="295"/>
      <c r="G122" s="295"/>
      <c r="H122" s="295"/>
      <c r="I122" s="295"/>
      <c r="J122" s="295"/>
      <c r="K122" s="295"/>
      <c r="L122" s="295"/>
      <c r="M122" s="295"/>
      <c r="N122" s="295"/>
      <c r="O122" s="294"/>
      <c r="P122" s="294"/>
      <c r="Q122" s="147"/>
      <c r="R122" s="293"/>
      <c r="S122" s="293"/>
      <c r="T122" s="293"/>
      <c r="U122" s="293"/>
      <c r="V122" s="293"/>
      <c r="W122" s="293"/>
      <c r="X122" s="293"/>
      <c r="Y122" s="293"/>
      <c r="Z122" s="293"/>
      <c r="AA122" s="293"/>
      <c r="AB122" s="293"/>
      <c r="AC122" s="293"/>
      <c r="AD122" s="293"/>
      <c r="AE122" s="293"/>
      <c r="AF122" s="293"/>
      <c r="AG122" s="293"/>
      <c r="AH122" s="293"/>
      <c r="AI122" s="293"/>
      <c r="AJ122" s="293"/>
      <c r="AK122" s="293"/>
      <c r="AL122" s="294"/>
      <c r="AM122" s="294"/>
      <c r="AN122" s="294"/>
      <c r="AO122" s="294"/>
      <c r="AP122" s="294"/>
      <c r="AQ122" s="294"/>
      <c r="AR122" s="294"/>
      <c r="AS122" s="294"/>
      <c r="AT122" s="294"/>
      <c r="AU122" s="294"/>
      <c r="AV122" s="294"/>
      <c r="AW122" s="294"/>
      <c r="AX122" s="294"/>
      <c r="AY122" s="294"/>
      <c r="AZ122" s="294"/>
      <c r="BA122" s="294"/>
      <c r="BB122" s="294"/>
      <c r="BD122" s="294"/>
      <c r="BE122" s="294"/>
      <c r="BF122" s="293"/>
      <c r="BG122" s="293"/>
      <c r="BH122" s="293"/>
      <c r="BI122" s="293"/>
      <c r="BJ122" s="293"/>
      <c r="BK122" s="293"/>
      <c r="BL122" s="293"/>
      <c r="BM122" s="293"/>
      <c r="BN122" s="293"/>
      <c r="BO122" s="293"/>
      <c r="BP122" s="293"/>
      <c r="BQ122" s="293"/>
      <c r="BR122" s="293"/>
      <c r="BS122" s="293"/>
      <c r="BT122" s="293"/>
      <c r="CX122" s="159"/>
      <c r="CY122" s="160"/>
      <c r="CZ122" s="160"/>
      <c r="DA122" s="161"/>
      <c r="DB122" s="161"/>
      <c r="DC122" s="161"/>
      <c r="DD122" s="161"/>
    </row>
    <row r="123" spans="3:108" ht="12.75" customHeight="1">
      <c r="C123" s="140"/>
      <c r="D123" s="290"/>
      <c r="E123" s="290"/>
      <c r="F123" s="290"/>
      <c r="G123" s="290"/>
      <c r="H123" s="290"/>
      <c r="I123" s="290"/>
      <c r="J123" s="290"/>
      <c r="K123" s="290"/>
      <c r="L123" s="290"/>
      <c r="M123" s="290"/>
      <c r="N123" s="290"/>
      <c r="O123" s="292"/>
      <c r="P123" s="292"/>
      <c r="Q123" s="140"/>
      <c r="R123" s="291"/>
      <c r="S123" s="291"/>
      <c r="T123" s="291"/>
      <c r="U123" s="291"/>
      <c r="V123" s="291"/>
      <c r="W123" s="291"/>
      <c r="X123" s="291"/>
      <c r="Y123" s="291"/>
      <c r="Z123" s="291"/>
      <c r="AA123" s="291"/>
      <c r="AB123" s="291"/>
      <c r="AC123" s="291"/>
      <c r="AD123" s="291"/>
      <c r="AE123" s="291"/>
      <c r="AF123" s="291"/>
      <c r="AG123" s="291"/>
      <c r="AH123" s="291"/>
      <c r="AI123" s="291"/>
      <c r="AJ123" s="291"/>
      <c r="AK123" s="291"/>
      <c r="AL123" s="292"/>
      <c r="AM123" s="292"/>
      <c r="AN123" s="292"/>
      <c r="AO123" s="292"/>
      <c r="AP123" s="292"/>
      <c r="AQ123" s="292"/>
      <c r="AR123" s="292"/>
      <c r="AS123" s="292"/>
      <c r="AT123" s="292"/>
      <c r="AU123" s="292"/>
      <c r="AV123" s="292"/>
      <c r="AW123" s="292"/>
      <c r="AX123" s="292"/>
      <c r="AY123" s="292"/>
      <c r="AZ123" s="292"/>
      <c r="BA123" s="292"/>
      <c r="BB123" s="292"/>
      <c r="BD123" s="292"/>
      <c r="BE123" s="292"/>
      <c r="BF123" s="291"/>
      <c r="BG123" s="291"/>
      <c r="BH123" s="291"/>
      <c r="BI123" s="291"/>
      <c r="BJ123" s="291"/>
      <c r="BK123" s="291"/>
      <c r="BL123" s="291"/>
      <c r="BM123" s="291"/>
      <c r="BN123" s="291"/>
      <c r="BO123" s="291"/>
      <c r="BP123" s="291"/>
      <c r="BQ123" s="291"/>
      <c r="BR123" s="291"/>
      <c r="BS123" s="291"/>
      <c r="BT123" s="291"/>
    </row>
    <row r="124" spans="3:108" ht="12.75" customHeight="1">
      <c r="C124" s="140"/>
      <c r="D124" s="290"/>
      <c r="E124" s="290"/>
      <c r="F124" s="290"/>
      <c r="G124" s="290"/>
      <c r="H124" s="290"/>
      <c r="I124" s="290"/>
      <c r="J124" s="290"/>
      <c r="K124" s="290"/>
      <c r="L124" s="290"/>
      <c r="M124" s="290"/>
      <c r="N124" s="290"/>
      <c r="O124" s="288"/>
      <c r="P124" s="288"/>
      <c r="Q124" s="148"/>
      <c r="R124" s="289"/>
      <c r="S124" s="289"/>
      <c r="T124" s="289"/>
      <c r="U124" s="289"/>
      <c r="V124" s="289"/>
      <c r="W124" s="289"/>
      <c r="X124" s="289"/>
      <c r="Y124" s="289"/>
      <c r="Z124" s="289"/>
      <c r="AA124" s="289"/>
      <c r="AB124" s="289"/>
      <c r="AC124" s="289"/>
      <c r="AD124" s="289"/>
      <c r="AE124" s="289"/>
      <c r="AF124" s="289"/>
      <c r="AG124" s="289"/>
      <c r="AH124" s="289"/>
      <c r="AI124" s="289"/>
      <c r="AJ124" s="289"/>
      <c r="AK124" s="289"/>
      <c r="AL124" s="288"/>
      <c r="AM124" s="288"/>
      <c r="AN124" s="288"/>
      <c r="AO124" s="288"/>
      <c r="AP124" s="288"/>
      <c r="AQ124" s="288"/>
      <c r="AR124" s="288"/>
      <c r="AS124" s="288"/>
      <c r="AT124" s="288"/>
      <c r="AU124" s="288"/>
      <c r="AV124" s="288"/>
      <c r="AW124" s="288"/>
      <c r="AX124" s="288"/>
      <c r="AY124" s="288"/>
      <c r="AZ124" s="288"/>
      <c r="BA124" s="288"/>
      <c r="BB124" s="288"/>
      <c r="BD124" s="288"/>
      <c r="BE124" s="288"/>
      <c r="BF124" s="289"/>
      <c r="BG124" s="289"/>
      <c r="BH124" s="289"/>
      <c r="BI124" s="289"/>
      <c r="BJ124" s="289"/>
      <c r="BK124" s="289"/>
      <c r="BL124" s="289"/>
      <c r="BM124" s="289"/>
      <c r="BN124" s="289"/>
      <c r="BO124" s="289"/>
      <c r="BP124" s="289"/>
      <c r="BQ124" s="289"/>
      <c r="BR124" s="289"/>
      <c r="BS124" s="289"/>
      <c r="BT124" s="289"/>
    </row>
    <row r="125" spans="3:108" ht="12.75" customHeight="1">
      <c r="C125" s="148"/>
      <c r="D125" s="290"/>
      <c r="E125" s="290"/>
      <c r="F125" s="290"/>
      <c r="G125" s="290"/>
      <c r="H125" s="290"/>
      <c r="I125" s="290"/>
      <c r="J125" s="290"/>
      <c r="K125" s="290"/>
      <c r="L125" s="290"/>
      <c r="M125" s="290"/>
      <c r="N125" s="290"/>
      <c r="O125" s="288"/>
      <c r="P125" s="288"/>
      <c r="Q125" s="148"/>
      <c r="R125" s="289"/>
      <c r="S125" s="289"/>
      <c r="T125" s="289"/>
      <c r="U125" s="289"/>
      <c r="V125" s="289"/>
      <c r="W125" s="289"/>
      <c r="X125" s="289"/>
      <c r="Y125" s="289"/>
      <c r="Z125" s="289"/>
      <c r="AA125" s="289"/>
      <c r="AB125" s="289"/>
      <c r="AC125" s="289"/>
      <c r="AD125" s="289"/>
      <c r="AE125" s="289"/>
      <c r="AF125" s="289"/>
      <c r="AG125" s="289"/>
      <c r="AH125" s="289"/>
      <c r="AI125" s="289"/>
      <c r="AJ125" s="289"/>
      <c r="AK125" s="289"/>
      <c r="AL125" s="288"/>
      <c r="AM125" s="288"/>
      <c r="AN125" s="288"/>
      <c r="AO125" s="288"/>
      <c r="AP125" s="288"/>
      <c r="AQ125" s="288"/>
      <c r="AR125" s="288"/>
      <c r="AS125" s="288"/>
      <c r="AT125" s="288"/>
      <c r="AU125" s="288"/>
      <c r="AV125" s="288"/>
      <c r="AW125" s="288"/>
      <c r="AX125" s="288"/>
      <c r="AY125" s="288"/>
      <c r="AZ125" s="288"/>
      <c r="BA125" s="288"/>
      <c r="BB125" s="288"/>
      <c r="BD125" s="288"/>
      <c r="BE125" s="288"/>
      <c r="BF125" s="289"/>
      <c r="BG125" s="289"/>
      <c r="BH125" s="289"/>
      <c r="BI125" s="289"/>
      <c r="BJ125" s="289"/>
      <c r="BK125" s="289"/>
      <c r="BL125" s="289"/>
      <c r="BM125" s="289"/>
      <c r="BN125" s="289"/>
      <c r="BO125" s="289"/>
      <c r="BP125" s="289"/>
      <c r="BQ125" s="289"/>
      <c r="BR125" s="289"/>
      <c r="BS125" s="289"/>
      <c r="BT125" s="289"/>
    </row>
    <row r="126" spans="3:108" ht="12.75" customHeight="1">
      <c r="C126" s="140"/>
      <c r="D126" s="290"/>
      <c r="E126" s="290"/>
      <c r="F126" s="290"/>
      <c r="G126" s="290"/>
      <c r="H126" s="290"/>
      <c r="I126" s="290"/>
      <c r="J126" s="290"/>
      <c r="K126" s="290"/>
      <c r="L126" s="290"/>
      <c r="M126" s="290"/>
      <c r="N126" s="290"/>
      <c r="O126" s="292"/>
      <c r="P126" s="292"/>
      <c r="Q126" s="140"/>
      <c r="R126" s="291"/>
      <c r="S126" s="291"/>
      <c r="T126" s="291"/>
      <c r="U126" s="291"/>
      <c r="V126" s="291"/>
      <c r="W126" s="291"/>
      <c r="X126" s="291"/>
      <c r="Y126" s="291"/>
      <c r="Z126" s="291"/>
      <c r="AA126" s="291"/>
      <c r="AB126" s="291"/>
      <c r="AC126" s="291"/>
      <c r="AD126" s="291"/>
      <c r="AE126" s="291"/>
      <c r="AF126" s="291"/>
      <c r="AG126" s="291"/>
      <c r="AH126" s="291"/>
      <c r="AI126" s="291"/>
      <c r="AJ126" s="291"/>
      <c r="AK126" s="291"/>
      <c r="AL126" s="288"/>
      <c r="AM126" s="288"/>
      <c r="AN126" s="288"/>
      <c r="AO126" s="288"/>
      <c r="AP126" s="292"/>
      <c r="AQ126" s="292"/>
      <c r="AR126" s="292"/>
      <c r="AS126" s="292"/>
      <c r="AT126" s="292"/>
      <c r="AU126" s="292"/>
      <c r="AV126" s="292"/>
      <c r="AW126" s="292"/>
      <c r="AX126" s="292"/>
      <c r="AY126" s="292"/>
      <c r="AZ126" s="292"/>
      <c r="BA126" s="292"/>
      <c r="BB126" s="292"/>
      <c r="BD126" s="292"/>
      <c r="BE126" s="292"/>
      <c r="BF126" s="291"/>
      <c r="BG126" s="291"/>
      <c r="BH126" s="291"/>
      <c r="BI126" s="291"/>
      <c r="BJ126" s="291"/>
      <c r="BK126" s="291"/>
      <c r="BL126" s="291"/>
      <c r="BM126" s="291"/>
      <c r="BN126" s="291"/>
      <c r="BO126" s="291"/>
      <c r="BP126" s="291"/>
      <c r="BQ126" s="291"/>
      <c r="BR126" s="291"/>
      <c r="BS126" s="291"/>
      <c r="BT126" s="291"/>
    </row>
    <row r="209" spans="9:43" ht="12.75" customHeight="1">
      <c r="M209" s="89"/>
      <c r="AQ209" s="90"/>
    </row>
    <row r="210" spans="9:43" ht="12.75" customHeight="1">
      <c r="M210" s="89"/>
      <c r="AQ210" s="90"/>
    </row>
    <row r="211" spans="9:43" ht="12.75" customHeight="1">
      <c r="M211" s="89"/>
      <c r="AQ211" s="90"/>
    </row>
    <row r="212" spans="9:43" ht="12.75" customHeight="1">
      <c r="M212" s="89"/>
      <c r="AQ212" s="90"/>
    </row>
    <row r="213" spans="9:43" ht="12.75" customHeight="1">
      <c r="M213" s="89"/>
      <c r="AQ213" s="90"/>
    </row>
    <row r="214" spans="9:43" ht="12.75" customHeight="1">
      <c r="M214" s="89"/>
      <c r="AQ214" s="90"/>
    </row>
    <row r="215" spans="9:43" ht="12.75" customHeight="1">
      <c r="M215" s="89"/>
      <c r="AQ215" s="90"/>
    </row>
    <row r="216" spans="9:43" ht="12.75" customHeight="1">
      <c r="I216" s="92"/>
      <c r="J216" s="92"/>
      <c r="K216" s="92"/>
      <c r="L216" s="92"/>
      <c r="M216" s="91"/>
      <c r="N216" s="92"/>
      <c r="O216" s="92"/>
      <c r="P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3"/>
    </row>
  </sheetData>
  <autoFilter ref="A6:DJ59" xr:uid="{C572D3BB-48C6-4713-AB30-1A9281419170}">
    <filterColumn colId="0" showButton="0"/>
    <filterColumn colId="2" showButton="0"/>
    <filterColumn colId="3" showButton="0"/>
    <filterColumn colId="4" showButton="0"/>
    <filterColumn colId="5" showButton="0"/>
    <filterColumn colId="6" showButton="0"/>
    <filterColumn colId="8" showButton="0"/>
    <filterColumn colId="9" showButton="0"/>
    <filterColumn colId="10" showButton="0"/>
    <filterColumn colId="12" showButton="0"/>
    <filterColumn colId="13" showButton="0"/>
    <filterColumn colId="14" showButton="0"/>
    <filterColumn colId="17" showButton="0"/>
    <filterColumn colId="18" showButton="0"/>
    <filterColumn colId="19" showButton="0"/>
    <filterColumn colId="21" showButton="0"/>
    <filterColumn colId="22" showButton="0"/>
    <filterColumn colId="25" showButton="0"/>
    <filterColumn colId="26"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4" showButton="0"/>
    <filterColumn colId="55" showButton="0"/>
    <filterColumn colId="57" showButton="0"/>
    <filterColumn colId="59" showButton="0"/>
    <filterColumn colId="61" showButton="0"/>
    <filterColumn colId="63" showButton="0"/>
    <filterColumn colId="65" showButton="0"/>
    <filterColumn colId="66" showButton="0"/>
    <filterColumn colId="67" showButton="0"/>
    <filterColumn colId="69" showButton="0"/>
    <filterColumn colId="70" showButton="0"/>
    <filterColumn colId="71" showButton="0"/>
    <filterColumn colId="73" showButton="0"/>
    <filterColumn colId="75" showButton="0"/>
    <filterColumn colId="77" showButton="0"/>
    <filterColumn colId="78"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autoFilter>
  <customSheetViews>
    <customSheetView guid="{8E8F94B8-32E0-4E0F-AFA7-579F1B47CB3E}" scale="170" showPageBreaks="1" fitToPage="1" printArea="1" view="pageBreakPreview" topLeftCell="A9">
      <selection activeCell="U16" sqref="U16:W16"/>
      <pageMargins left="0.19685039370078741" right="0.19685039370078741" top="0.19685039370078741" bottom="0.19685039370078741" header="7.874015748031496E-2" footer="7.874015748031496E-2"/>
      <pageSetup paperSize="8" scale="91" fitToHeight="0" orientation="landscape" r:id="rId1"/>
      <headerFooter alignWithMargins="0"/>
    </customSheetView>
    <customSheetView guid="{4B2152C0-165D-47F1-8933-57B3261F1379}" scale="115" showPageBreaks="1" fitToPage="1" printArea="1" showAutoFilter="1" hiddenColumns="1" view="pageBreakPreview">
      <selection activeCell="AG12" sqref="AG12:AQ12"/>
      <rowBreaks count="1" manualBreakCount="1">
        <brk id="43" max="89" man="1"/>
      </rowBreaks>
      <pageMargins left="0.196850393700787" right="0.196850393700787" top="0.196850393700787" bottom="0.196850393700787" header="7.8740157480315001E-2" footer="7.8740157480315001E-2"/>
      <pageSetup paperSize="8" scale="78" fitToHeight="0" orientation="landscape" r:id="rId2"/>
      <headerFooter alignWithMargins="0"/>
      <autoFilter ref="A6:DJ59" xr:uid="{08726BA1-4D67-442C-AABA-702DC92C339F}">
        <filterColumn colId="0" showButton="0"/>
        <filterColumn colId="2" showButton="0"/>
        <filterColumn colId="3" showButton="0"/>
        <filterColumn colId="4" showButton="0"/>
        <filterColumn colId="5" showButton="0"/>
        <filterColumn colId="6" showButton="0"/>
        <filterColumn colId="8" showButton="0"/>
        <filterColumn colId="9" showButton="0"/>
        <filterColumn colId="10" showButton="0"/>
        <filterColumn colId="12" showButton="0"/>
        <filterColumn colId="13" showButton="0"/>
        <filterColumn colId="14" showButton="0"/>
        <filterColumn colId="17" showButton="0"/>
        <filterColumn colId="18" showButton="0"/>
        <filterColumn colId="19" showButton="0"/>
        <filterColumn colId="21" showButton="0"/>
        <filterColumn colId="22" showButton="0"/>
        <filterColumn colId="25" showButton="0"/>
        <filterColumn colId="26"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4" showButton="0"/>
        <filterColumn colId="55" showButton="0"/>
        <filterColumn colId="57" showButton="0"/>
        <filterColumn colId="59" showButton="0"/>
        <filterColumn colId="61" showButton="0"/>
        <filterColumn colId="63" showButton="0"/>
        <filterColumn colId="65" showButton="0"/>
        <filterColumn colId="66" showButton="0"/>
        <filterColumn colId="67" showButton="0"/>
        <filterColumn colId="69" showButton="0"/>
        <filterColumn colId="70" showButton="0"/>
        <filterColumn colId="71" showButton="0"/>
        <filterColumn colId="73" showButton="0"/>
        <filterColumn colId="75" showButton="0"/>
        <filterColumn colId="77" showButton="0"/>
        <filterColumn colId="78"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autoFilter>
    </customSheetView>
    <customSheetView guid="{9313348B-AF43-459E-B141-13E53440B183}" scale="115" showPageBreaks="1" fitToPage="1" printArea="1" showAutoFilter="1" hiddenColumns="1" view="pageBreakPreview">
      <selection activeCell="AG12" sqref="AG12:AQ12"/>
      <rowBreaks count="1" manualBreakCount="1">
        <brk id="43" max="89" man="1"/>
      </rowBreaks>
      <pageMargins left="0.196850393700787" right="0.196850393700787" top="0.196850393700787" bottom="0.196850393700787" header="7.8740157480315001E-2" footer="7.8740157480315001E-2"/>
      <pageSetup paperSize="8" scale="78" fitToHeight="0" orientation="landscape" r:id="rId3"/>
      <headerFooter alignWithMargins="0"/>
      <autoFilter ref="A6:DJ59" xr:uid="{750BD031-E69B-43D0-A108-5BE7EF66C72F}">
        <filterColumn colId="0" showButton="0"/>
        <filterColumn colId="2" showButton="0"/>
        <filterColumn colId="3" showButton="0"/>
        <filterColumn colId="4" showButton="0"/>
        <filterColumn colId="5" showButton="0"/>
        <filterColumn colId="6" showButton="0"/>
        <filterColumn colId="8" showButton="0"/>
        <filterColumn colId="9" showButton="0"/>
        <filterColumn colId="10" showButton="0"/>
        <filterColumn colId="12" showButton="0"/>
        <filterColumn colId="13" showButton="0"/>
        <filterColumn colId="14" showButton="0"/>
        <filterColumn colId="17" showButton="0"/>
        <filterColumn colId="18" showButton="0"/>
        <filterColumn colId="19" showButton="0"/>
        <filterColumn colId="21" showButton="0"/>
        <filterColumn colId="22" showButton="0"/>
        <filterColumn colId="25" showButton="0"/>
        <filterColumn colId="26"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4" showButton="0"/>
        <filterColumn colId="55" showButton="0"/>
        <filterColumn colId="57" showButton="0"/>
        <filterColumn colId="59" showButton="0"/>
        <filterColumn colId="61" showButton="0"/>
        <filterColumn colId="63" showButton="0"/>
        <filterColumn colId="65" showButton="0"/>
        <filterColumn colId="66" showButton="0"/>
        <filterColumn colId="67" showButton="0"/>
        <filterColumn colId="69" showButton="0"/>
        <filterColumn colId="70" showButton="0"/>
        <filterColumn colId="71" showButton="0"/>
        <filterColumn colId="73" showButton="0"/>
        <filterColumn colId="75" showButton="0"/>
        <filterColumn colId="77" showButton="0"/>
        <filterColumn colId="78"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autoFilter>
    </customSheetView>
  </customSheetViews>
  <mergeCells count="1944">
    <mergeCell ref="BX63:BY63"/>
    <mergeCell ref="BZ63:CB63"/>
    <mergeCell ref="CC63:CM63"/>
    <mergeCell ref="A63:B63"/>
    <mergeCell ref="C63:H63"/>
    <mergeCell ref="I63:L63"/>
    <mergeCell ref="M63:P63"/>
    <mergeCell ref="R63:U63"/>
    <mergeCell ref="V63:X63"/>
    <mergeCell ref="Z63:AB63"/>
    <mergeCell ref="AG63:AQ63"/>
    <mergeCell ref="AR63:BB63"/>
    <mergeCell ref="BC63:BE63"/>
    <mergeCell ref="BF63:BG63"/>
    <mergeCell ref="BH63:BI63"/>
    <mergeCell ref="BJ63:BK63"/>
    <mergeCell ref="BL63:BM63"/>
    <mergeCell ref="BN63:BQ63"/>
    <mergeCell ref="BR63:BU63"/>
    <mergeCell ref="BV63:BW63"/>
    <mergeCell ref="BX61:BY61"/>
    <mergeCell ref="BZ61:CB61"/>
    <mergeCell ref="CC61:CM61"/>
    <mergeCell ref="A62:B62"/>
    <mergeCell ref="C62:H62"/>
    <mergeCell ref="I62:L62"/>
    <mergeCell ref="M62:P62"/>
    <mergeCell ref="R62:U62"/>
    <mergeCell ref="V62:X62"/>
    <mergeCell ref="Z62:AB62"/>
    <mergeCell ref="AG62:AQ62"/>
    <mergeCell ref="AR62:BB62"/>
    <mergeCell ref="BC62:BE62"/>
    <mergeCell ref="BF62:BG62"/>
    <mergeCell ref="BH62:BI62"/>
    <mergeCell ref="BJ62:BK62"/>
    <mergeCell ref="BL62:BM62"/>
    <mergeCell ref="BN62:BQ62"/>
    <mergeCell ref="BR62:BU62"/>
    <mergeCell ref="BV62:BW62"/>
    <mergeCell ref="BX62:BY62"/>
    <mergeCell ref="BZ62:CB62"/>
    <mergeCell ref="CC62:CM62"/>
    <mergeCell ref="A61:B61"/>
    <mergeCell ref="C61:H61"/>
    <mergeCell ref="I61:L61"/>
    <mergeCell ref="M61:P61"/>
    <mergeCell ref="R61:U61"/>
    <mergeCell ref="V61:X61"/>
    <mergeCell ref="Z61:AB61"/>
    <mergeCell ref="AG61:AQ61"/>
    <mergeCell ref="AR61:BB61"/>
    <mergeCell ref="BC61:BE61"/>
    <mergeCell ref="BF61:BG61"/>
    <mergeCell ref="BH61:BI61"/>
    <mergeCell ref="BJ61:BK61"/>
    <mergeCell ref="BL61:BM61"/>
    <mergeCell ref="BN61:BQ61"/>
    <mergeCell ref="BR61:BU61"/>
    <mergeCell ref="BV61:BW61"/>
    <mergeCell ref="BX59:BY59"/>
    <mergeCell ref="BZ59:CB59"/>
    <mergeCell ref="CC59:CM59"/>
    <mergeCell ref="A60:B60"/>
    <mergeCell ref="C60:H60"/>
    <mergeCell ref="I60:L60"/>
    <mergeCell ref="M60:P60"/>
    <mergeCell ref="R60:U60"/>
    <mergeCell ref="V60:X60"/>
    <mergeCell ref="Z60:AB60"/>
    <mergeCell ref="AG60:AQ60"/>
    <mergeCell ref="AR60:BB60"/>
    <mergeCell ref="BC60:BE60"/>
    <mergeCell ref="BF60:BG60"/>
    <mergeCell ref="BH60:BI60"/>
    <mergeCell ref="BJ60:BK60"/>
    <mergeCell ref="BL60:BM60"/>
    <mergeCell ref="BN60:BQ60"/>
    <mergeCell ref="BR60:BU60"/>
    <mergeCell ref="BV60:BW60"/>
    <mergeCell ref="BX60:BY60"/>
    <mergeCell ref="BZ60:CB60"/>
    <mergeCell ref="CC60:CM60"/>
    <mergeCell ref="A59:B59"/>
    <mergeCell ref="C59:H59"/>
    <mergeCell ref="I59:L59"/>
    <mergeCell ref="M59:P59"/>
    <mergeCell ref="R59:U59"/>
    <mergeCell ref="V59:X59"/>
    <mergeCell ref="Z59:AB59"/>
    <mergeCell ref="AG59:AQ59"/>
    <mergeCell ref="AR59:BB59"/>
    <mergeCell ref="BC59:BE59"/>
    <mergeCell ref="BF59:BG59"/>
    <mergeCell ref="BH59:BI59"/>
    <mergeCell ref="BJ59:BK59"/>
    <mergeCell ref="BL59:BM59"/>
    <mergeCell ref="BN59:BQ59"/>
    <mergeCell ref="BR59:BU59"/>
    <mergeCell ref="BV59:BW59"/>
    <mergeCell ref="BX57:BY57"/>
    <mergeCell ref="BF57:BG57"/>
    <mergeCell ref="BH57:BI57"/>
    <mergeCell ref="BJ57:BK57"/>
    <mergeCell ref="BL57:BM57"/>
    <mergeCell ref="BN57:BQ57"/>
    <mergeCell ref="BR57:BU57"/>
    <mergeCell ref="BV57:BW57"/>
    <mergeCell ref="BZ57:CB57"/>
    <mergeCell ref="CC57:CM57"/>
    <mergeCell ref="A58:B58"/>
    <mergeCell ref="C58:H58"/>
    <mergeCell ref="I58:L58"/>
    <mergeCell ref="M58:P58"/>
    <mergeCell ref="R58:U58"/>
    <mergeCell ref="V58:X58"/>
    <mergeCell ref="Z58:AB58"/>
    <mergeCell ref="AG58:AQ58"/>
    <mergeCell ref="AR58:BB58"/>
    <mergeCell ref="BC58:BE58"/>
    <mergeCell ref="BF58:BG58"/>
    <mergeCell ref="BH58:BI58"/>
    <mergeCell ref="BJ58:BK58"/>
    <mergeCell ref="BL58:BM58"/>
    <mergeCell ref="BN58:BQ58"/>
    <mergeCell ref="BR58:BU58"/>
    <mergeCell ref="BV58:BW58"/>
    <mergeCell ref="BX58:BY58"/>
    <mergeCell ref="BZ58:CB58"/>
    <mergeCell ref="CC58:CM58"/>
    <mergeCell ref="A57:B57"/>
    <mergeCell ref="C57:H57"/>
    <mergeCell ref="I57:L57"/>
    <mergeCell ref="M57:P57"/>
    <mergeCell ref="R57:U57"/>
    <mergeCell ref="V57:X57"/>
    <mergeCell ref="Z57:AB57"/>
    <mergeCell ref="AG57:AQ57"/>
    <mergeCell ref="AR57:BB57"/>
    <mergeCell ref="BC57:BE57"/>
    <mergeCell ref="CC55:CM55"/>
    <mergeCell ref="BL54:BM54"/>
    <mergeCell ref="BR55:BU55"/>
    <mergeCell ref="BV55:BW55"/>
    <mergeCell ref="BX55:BY55"/>
    <mergeCell ref="BZ55:CB55"/>
    <mergeCell ref="CC53:CM53"/>
    <mergeCell ref="BH18:BI18"/>
    <mergeCell ref="BJ18:BK18"/>
    <mergeCell ref="BL18:BM18"/>
    <mergeCell ref="BN18:BQ18"/>
    <mergeCell ref="V18:X18"/>
    <mergeCell ref="BV14:BW14"/>
    <mergeCell ref="BX14:BY14"/>
    <mergeCell ref="BZ14:CB14"/>
    <mergeCell ref="CC14:CM14"/>
    <mergeCell ref="V14:X14"/>
    <mergeCell ref="Z14:AB14"/>
    <mergeCell ref="AG14:AQ14"/>
    <mergeCell ref="AR14:BB14"/>
    <mergeCell ref="BC14:BE14"/>
    <mergeCell ref="BF14:BG14"/>
    <mergeCell ref="BH14:BI14"/>
    <mergeCell ref="BJ14:BK14"/>
    <mergeCell ref="BL14:BM14"/>
    <mergeCell ref="BN14:BQ14"/>
    <mergeCell ref="BR14:BU14"/>
    <mergeCell ref="BZ15:CB15"/>
    <mergeCell ref="CC15:CM15"/>
    <mergeCell ref="BV16:BW16"/>
    <mergeCell ref="BC16:BE16"/>
    <mergeCell ref="BR17:BU17"/>
    <mergeCell ref="V56:X56"/>
    <mergeCell ref="Z56:AB56"/>
    <mergeCell ref="AG56:AQ56"/>
    <mergeCell ref="AR56:BB56"/>
    <mergeCell ref="BC56:BE56"/>
    <mergeCell ref="BF56:BG56"/>
    <mergeCell ref="BH56:BI56"/>
    <mergeCell ref="BJ56:BK56"/>
    <mergeCell ref="BL56:BM56"/>
    <mergeCell ref="BN56:BQ56"/>
    <mergeCell ref="C17:H17"/>
    <mergeCell ref="M17:P17"/>
    <mergeCell ref="R17:U17"/>
    <mergeCell ref="V17:X17"/>
    <mergeCell ref="Z17:AB17"/>
    <mergeCell ref="AG17:AQ17"/>
    <mergeCell ref="AR17:BB17"/>
    <mergeCell ref="BC17:BE17"/>
    <mergeCell ref="BF17:BG17"/>
    <mergeCell ref="BH17:BI17"/>
    <mergeCell ref="BJ17:BK17"/>
    <mergeCell ref="BL17:BM17"/>
    <mergeCell ref="BN17:BQ17"/>
    <mergeCell ref="BN19:BQ19"/>
    <mergeCell ref="V19:X19"/>
    <mergeCell ref="Z19:AB19"/>
    <mergeCell ref="AG19:AQ19"/>
    <mergeCell ref="AR19:BB19"/>
    <mergeCell ref="BC19:BE19"/>
    <mergeCell ref="C19:H19"/>
    <mergeCell ref="M19:P19"/>
    <mergeCell ref="R19:U19"/>
    <mergeCell ref="BR56:BU56"/>
    <mergeCell ref="BV56:BW56"/>
    <mergeCell ref="BX56:BY56"/>
    <mergeCell ref="BZ56:CB56"/>
    <mergeCell ref="CC56:CM56"/>
    <mergeCell ref="BN55:BQ55"/>
    <mergeCell ref="M55:P55"/>
    <mergeCell ref="R55:U55"/>
    <mergeCell ref="V55:X55"/>
    <mergeCell ref="BZ53:CB53"/>
    <mergeCell ref="BC54:BE54"/>
    <mergeCell ref="BC55:BE55"/>
    <mergeCell ref="A55:B55"/>
    <mergeCell ref="C55:H55"/>
    <mergeCell ref="Z55:AB55"/>
    <mergeCell ref="AG55:AQ55"/>
    <mergeCell ref="AR55:BB55"/>
    <mergeCell ref="BF55:BG55"/>
    <mergeCell ref="BH55:BI55"/>
    <mergeCell ref="BJ55:BK55"/>
    <mergeCell ref="BL55:BM55"/>
    <mergeCell ref="V54:X54"/>
    <mergeCell ref="Z54:AB54"/>
    <mergeCell ref="AG54:AQ54"/>
    <mergeCell ref="AR54:BB54"/>
    <mergeCell ref="BF54:BG54"/>
    <mergeCell ref="BH54:BI54"/>
    <mergeCell ref="BJ54:BK54"/>
    <mergeCell ref="A56:B56"/>
    <mergeCell ref="C56:H56"/>
    <mergeCell ref="M56:P56"/>
    <mergeCell ref="R56:U56"/>
    <mergeCell ref="A54:B54"/>
    <mergeCell ref="C54:H54"/>
    <mergeCell ref="M54:P54"/>
    <mergeCell ref="R54:U54"/>
    <mergeCell ref="BN54:BQ54"/>
    <mergeCell ref="BR54:BU54"/>
    <mergeCell ref="BV54:BW54"/>
    <mergeCell ref="BX54:BY54"/>
    <mergeCell ref="BZ54:CB54"/>
    <mergeCell ref="CC54:CM54"/>
    <mergeCell ref="A53:B53"/>
    <mergeCell ref="C53:H53"/>
    <mergeCell ref="M53:P53"/>
    <mergeCell ref="R53:U53"/>
    <mergeCell ref="V53:X53"/>
    <mergeCell ref="Z53:AB53"/>
    <mergeCell ref="AG53:AQ53"/>
    <mergeCell ref="AR53:BB53"/>
    <mergeCell ref="BC53:BE53"/>
    <mergeCell ref="BF53:BG53"/>
    <mergeCell ref="BH53:BI53"/>
    <mergeCell ref="BJ53:BK53"/>
    <mergeCell ref="BL53:BM53"/>
    <mergeCell ref="BN53:BQ53"/>
    <mergeCell ref="BR53:BU53"/>
    <mergeCell ref="BV53:BW53"/>
    <mergeCell ref="BX53:BY53"/>
    <mergeCell ref="I54:L54"/>
    <mergeCell ref="A1:CM2"/>
    <mergeCell ref="A3:B5"/>
    <mergeCell ref="C3:H5"/>
    <mergeCell ref="M3:P5"/>
    <mergeCell ref="R3:U5"/>
    <mergeCell ref="V3:X5"/>
    <mergeCell ref="Z3:AB5"/>
    <mergeCell ref="AG3:BB4"/>
    <mergeCell ref="BC3:BE5"/>
    <mergeCell ref="CC3:CM5"/>
    <mergeCell ref="BF5:BG5"/>
    <mergeCell ref="BH5:BI5"/>
    <mergeCell ref="BJ5:BK5"/>
    <mergeCell ref="BL5:BM5"/>
    <mergeCell ref="BV5:BW5"/>
    <mergeCell ref="BF3:BI4"/>
    <mergeCell ref="BJ3:BM4"/>
    <mergeCell ref="BN3:BQ5"/>
    <mergeCell ref="BR3:BU5"/>
    <mergeCell ref="BV3:BY4"/>
    <mergeCell ref="BZ3:CB5"/>
    <mergeCell ref="BX5:BY5"/>
    <mergeCell ref="AF3:AF5"/>
    <mergeCell ref="I3:L5"/>
    <mergeCell ref="Q3:Q5"/>
    <mergeCell ref="AG5:AQ6"/>
    <mergeCell ref="AR5:BB6"/>
    <mergeCell ref="I6:L6"/>
    <mergeCell ref="BR6:BU6"/>
    <mergeCell ref="BV6:BW6"/>
    <mergeCell ref="BX6:BY6"/>
    <mergeCell ref="BZ6:CB6"/>
    <mergeCell ref="C8:H8"/>
    <mergeCell ref="M8:P8"/>
    <mergeCell ref="R8:U8"/>
    <mergeCell ref="BH7:BI7"/>
    <mergeCell ref="BJ7:BK7"/>
    <mergeCell ref="BL7:BM7"/>
    <mergeCell ref="BN7:BQ7"/>
    <mergeCell ref="BR7:BU7"/>
    <mergeCell ref="Z7:AB7"/>
    <mergeCell ref="AG7:AQ7"/>
    <mergeCell ref="AR7:BB7"/>
    <mergeCell ref="BC7:BE7"/>
    <mergeCell ref="BF7:BG7"/>
    <mergeCell ref="C7:H7"/>
    <mergeCell ref="M7:P7"/>
    <mergeCell ref="R7:U7"/>
    <mergeCell ref="V7:X7"/>
    <mergeCell ref="BR8:BU8"/>
    <mergeCell ref="BH8:BI8"/>
    <mergeCell ref="BJ8:BK8"/>
    <mergeCell ref="BL8:BM8"/>
    <mergeCell ref="BN8:BQ8"/>
    <mergeCell ref="V8:X8"/>
    <mergeCell ref="Z8:AB8"/>
    <mergeCell ref="AG8:AQ8"/>
    <mergeCell ref="AR8:BB8"/>
    <mergeCell ref="BC8:BE8"/>
    <mergeCell ref="BF8:BG8"/>
    <mergeCell ref="I8:L8"/>
    <mergeCell ref="I7:L7"/>
    <mergeCell ref="BV9:BW9"/>
    <mergeCell ref="BX9:BY9"/>
    <mergeCell ref="BZ9:CB9"/>
    <mergeCell ref="CC9:CM9"/>
    <mergeCell ref="CT9:DA9"/>
    <mergeCell ref="BV7:BW7"/>
    <mergeCell ref="BX7:BY7"/>
    <mergeCell ref="BZ7:CB7"/>
    <mergeCell ref="CC7:CM7"/>
    <mergeCell ref="CT7:DA7"/>
    <mergeCell ref="BV8:BW8"/>
    <mergeCell ref="BX8:BY8"/>
    <mergeCell ref="BZ8:CB8"/>
    <mergeCell ref="CC8:CM8"/>
    <mergeCell ref="CT8:DA8"/>
    <mergeCell ref="V10:X10"/>
    <mergeCell ref="Z10:AB10"/>
    <mergeCell ref="AG10:AQ10"/>
    <mergeCell ref="AR10:BB10"/>
    <mergeCell ref="BC10:BE10"/>
    <mergeCell ref="BF10:BG10"/>
    <mergeCell ref="C10:H10"/>
    <mergeCell ref="M10:P10"/>
    <mergeCell ref="R10:U10"/>
    <mergeCell ref="BH9:BI9"/>
    <mergeCell ref="BJ9:BK9"/>
    <mergeCell ref="BL9:BM9"/>
    <mergeCell ref="BN9:BQ9"/>
    <mergeCell ref="BR9:BU9"/>
    <mergeCell ref="Z9:AB9"/>
    <mergeCell ref="AG9:AQ9"/>
    <mergeCell ref="AR9:BB9"/>
    <mergeCell ref="BC9:BE9"/>
    <mergeCell ref="BF9:BG9"/>
    <mergeCell ref="C9:H9"/>
    <mergeCell ref="M9:P9"/>
    <mergeCell ref="R9:U9"/>
    <mergeCell ref="V9:X9"/>
    <mergeCell ref="BR10:BU10"/>
    <mergeCell ref="I9:L9"/>
    <mergeCell ref="I10:L10"/>
    <mergeCell ref="BV11:BW11"/>
    <mergeCell ref="BX11:BY11"/>
    <mergeCell ref="BZ11:CB11"/>
    <mergeCell ref="CC11:CM11"/>
    <mergeCell ref="BR12:BU12"/>
    <mergeCell ref="CT11:DA11"/>
    <mergeCell ref="BH11:BI11"/>
    <mergeCell ref="BJ11:BK11"/>
    <mergeCell ref="BL11:BM11"/>
    <mergeCell ref="BN11:BQ11"/>
    <mergeCell ref="BR11:BU11"/>
    <mergeCell ref="Z11:AB11"/>
    <mergeCell ref="AG11:AQ11"/>
    <mergeCell ref="AR11:BB11"/>
    <mergeCell ref="BC11:BE11"/>
    <mergeCell ref="BF11:BG11"/>
    <mergeCell ref="BV10:BW10"/>
    <mergeCell ref="BX10:BY10"/>
    <mergeCell ref="BZ10:CB10"/>
    <mergeCell ref="CC10:CM10"/>
    <mergeCell ref="CT10:DA10"/>
    <mergeCell ref="BH10:BI10"/>
    <mergeCell ref="BJ10:BK10"/>
    <mergeCell ref="BL10:BM10"/>
    <mergeCell ref="BN10:BQ10"/>
    <mergeCell ref="C11:H11"/>
    <mergeCell ref="M11:P11"/>
    <mergeCell ref="R11:U11"/>
    <mergeCell ref="V11:X11"/>
    <mergeCell ref="C13:H13"/>
    <mergeCell ref="M13:P13"/>
    <mergeCell ref="R13:U13"/>
    <mergeCell ref="BH12:BI12"/>
    <mergeCell ref="BJ12:BK12"/>
    <mergeCell ref="BL12:BM12"/>
    <mergeCell ref="BN12:BQ12"/>
    <mergeCell ref="V12:X12"/>
    <mergeCell ref="Z12:AB12"/>
    <mergeCell ref="AG12:AQ12"/>
    <mergeCell ref="AR12:BB12"/>
    <mergeCell ref="BC12:BE12"/>
    <mergeCell ref="BF12:BG12"/>
    <mergeCell ref="C12:H12"/>
    <mergeCell ref="M12:P12"/>
    <mergeCell ref="R12:U12"/>
    <mergeCell ref="BH13:BI13"/>
    <mergeCell ref="BJ13:BK13"/>
    <mergeCell ref="BL13:BM13"/>
    <mergeCell ref="BN13:BQ13"/>
    <mergeCell ref="V13:X13"/>
    <mergeCell ref="Z13:AB13"/>
    <mergeCell ref="AG13:AQ13"/>
    <mergeCell ref="AR13:BB13"/>
    <mergeCell ref="BC13:BE13"/>
    <mergeCell ref="BF13:BG13"/>
    <mergeCell ref="I11:L11"/>
    <mergeCell ref="C14:H14"/>
    <mergeCell ref="M14:P14"/>
    <mergeCell ref="R14:U14"/>
    <mergeCell ref="BV12:BW12"/>
    <mergeCell ref="BX12:BY12"/>
    <mergeCell ref="BZ16:CB16"/>
    <mergeCell ref="CC16:CM16"/>
    <mergeCell ref="BR15:BU15"/>
    <mergeCell ref="BH15:BI15"/>
    <mergeCell ref="BJ15:BK15"/>
    <mergeCell ref="BL15:BM15"/>
    <mergeCell ref="BN15:BQ15"/>
    <mergeCell ref="BH16:BI16"/>
    <mergeCell ref="BF16:BG16"/>
    <mergeCell ref="BV15:BW15"/>
    <mergeCell ref="BX15:BY15"/>
    <mergeCell ref="BZ12:CB12"/>
    <mergeCell ref="CC12:CM12"/>
    <mergeCell ref="BV13:BW13"/>
    <mergeCell ref="BX13:BY13"/>
    <mergeCell ref="BZ13:CB13"/>
    <mergeCell ref="CC13:CM13"/>
    <mergeCell ref="BR13:BU13"/>
    <mergeCell ref="I12:L12"/>
    <mergeCell ref="I13:L13"/>
    <mergeCell ref="I14:L14"/>
    <mergeCell ref="BZ17:CB17"/>
    <mergeCell ref="CC17:CM17"/>
    <mergeCell ref="BR21:BU21"/>
    <mergeCell ref="BR20:BU20"/>
    <mergeCell ref="Z18:AB18"/>
    <mergeCell ref="AG18:AQ18"/>
    <mergeCell ref="AR18:BB18"/>
    <mergeCell ref="BC18:BE18"/>
    <mergeCell ref="BF18:BG18"/>
    <mergeCell ref="BR19:BU19"/>
    <mergeCell ref="BV18:BW18"/>
    <mergeCell ref="BX18:BY18"/>
    <mergeCell ref="BZ18:CB18"/>
    <mergeCell ref="CC18:CM18"/>
    <mergeCell ref="BV19:BW19"/>
    <mergeCell ref="BX19:BY19"/>
    <mergeCell ref="BZ19:CB19"/>
    <mergeCell ref="CC19:CM19"/>
    <mergeCell ref="BH19:BI19"/>
    <mergeCell ref="BJ19:BK19"/>
    <mergeCell ref="BL19:BM19"/>
    <mergeCell ref="BF19:BG19"/>
    <mergeCell ref="BR18:BU18"/>
    <mergeCell ref="BN20:BQ20"/>
    <mergeCell ref="BV20:BW20"/>
    <mergeCell ref="BX20:BY20"/>
    <mergeCell ref="BZ20:CB20"/>
    <mergeCell ref="CC20:CM20"/>
    <mergeCell ref="BV21:BW21"/>
    <mergeCell ref="BX21:BY21"/>
    <mergeCell ref="BZ21:CB21"/>
    <mergeCell ref="CC21:CM21"/>
    <mergeCell ref="C18:H18"/>
    <mergeCell ref="M18:P18"/>
    <mergeCell ref="R18:U18"/>
    <mergeCell ref="C16:H16"/>
    <mergeCell ref="M16:P16"/>
    <mergeCell ref="R16:U16"/>
    <mergeCell ref="V15:X15"/>
    <mergeCell ref="Z15:AB15"/>
    <mergeCell ref="AG15:AQ15"/>
    <mergeCell ref="AR15:BB15"/>
    <mergeCell ref="BC15:BE15"/>
    <mergeCell ref="BF15:BG15"/>
    <mergeCell ref="BR16:BU16"/>
    <mergeCell ref="BX16:BY16"/>
    <mergeCell ref="C15:H15"/>
    <mergeCell ref="M15:P15"/>
    <mergeCell ref="R15:U15"/>
    <mergeCell ref="BJ16:BK16"/>
    <mergeCell ref="BL16:BM16"/>
    <mergeCell ref="BN16:BQ16"/>
    <mergeCell ref="V16:X16"/>
    <mergeCell ref="Z16:AB16"/>
    <mergeCell ref="AG16:AQ16"/>
    <mergeCell ref="AR16:BB16"/>
    <mergeCell ref="BV17:BW17"/>
    <mergeCell ref="BX17:BY17"/>
    <mergeCell ref="I15:L15"/>
    <mergeCell ref="I16:L16"/>
    <mergeCell ref="I17:L17"/>
    <mergeCell ref="I18:L18"/>
    <mergeCell ref="AG20:AQ20"/>
    <mergeCell ref="AR20:BB20"/>
    <mergeCell ref="BC20:BE20"/>
    <mergeCell ref="BF20:BG20"/>
    <mergeCell ref="C20:H20"/>
    <mergeCell ref="M20:P20"/>
    <mergeCell ref="R20:U20"/>
    <mergeCell ref="BH21:BI21"/>
    <mergeCell ref="BJ21:BK21"/>
    <mergeCell ref="BL21:BM21"/>
    <mergeCell ref="BN21:BQ21"/>
    <mergeCell ref="V21:X21"/>
    <mergeCell ref="Z21:AB21"/>
    <mergeCell ref="AG21:AQ21"/>
    <mergeCell ref="AR21:BB21"/>
    <mergeCell ref="BC21:BE21"/>
    <mergeCell ref="BF21:BG21"/>
    <mergeCell ref="BH20:BI20"/>
    <mergeCell ref="BJ20:BK20"/>
    <mergeCell ref="BL20:BM20"/>
    <mergeCell ref="C21:H21"/>
    <mergeCell ref="M21:P21"/>
    <mergeCell ref="R21:U21"/>
    <mergeCell ref="BH22:BI22"/>
    <mergeCell ref="BJ22:BK22"/>
    <mergeCell ref="BL22:BM22"/>
    <mergeCell ref="BN22:BQ22"/>
    <mergeCell ref="V22:X22"/>
    <mergeCell ref="Z22:AB22"/>
    <mergeCell ref="AG22:AQ22"/>
    <mergeCell ref="AR22:BB22"/>
    <mergeCell ref="BC22:BE22"/>
    <mergeCell ref="BF22:BG22"/>
    <mergeCell ref="BR23:BU23"/>
    <mergeCell ref="C22:H22"/>
    <mergeCell ref="M22:P22"/>
    <mergeCell ref="R22:U22"/>
    <mergeCell ref="BH23:BI23"/>
    <mergeCell ref="BJ23:BK23"/>
    <mergeCell ref="BL23:BM23"/>
    <mergeCell ref="BN23:BQ23"/>
    <mergeCell ref="V23:X23"/>
    <mergeCell ref="Z23:AB23"/>
    <mergeCell ref="AG23:AQ23"/>
    <mergeCell ref="AR23:BB23"/>
    <mergeCell ref="BC23:BE23"/>
    <mergeCell ref="C25:H25"/>
    <mergeCell ref="M25:P25"/>
    <mergeCell ref="R25:U25"/>
    <mergeCell ref="BH24:BI24"/>
    <mergeCell ref="BJ24:BK24"/>
    <mergeCell ref="BL24:BM24"/>
    <mergeCell ref="BN24:BQ24"/>
    <mergeCell ref="V24:X24"/>
    <mergeCell ref="Z24:AB24"/>
    <mergeCell ref="AG24:AQ24"/>
    <mergeCell ref="AR24:BB24"/>
    <mergeCell ref="BC24:BE24"/>
    <mergeCell ref="BF24:BG24"/>
    <mergeCell ref="BF23:BG23"/>
    <mergeCell ref="C24:H24"/>
    <mergeCell ref="M24:P24"/>
    <mergeCell ref="R24:U24"/>
    <mergeCell ref="I23:L23"/>
    <mergeCell ref="I24:L24"/>
    <mergeCell ref="I25:L25"/>
    <mergeCell ref="BH25:BI25"/>
    <mergeCell ref="C23:H23"/>
    <mergeCell ref="M23:P23"/>
    <mergeCell ref="R23:U23"/>
    <mergeCell ref="BV27:BW27"/>
    <mergeCell ref="BX27:BY27"/>
    <mergeCell ref="BZ24:CB24"/>
    <mergeCell ref="CC24:CM24"/>
    <mergeCell ref="BV25:BW25"/>
    <mergeCell ref="BX25:BY25"/>
    <mergeCell ref="BZ25:CB25"/>
    <mergeCell ref="CC25:CM25"/>
    <mergeCell ref="BV26:BW26"/>
    <mergeCell ref="BX26:BY26"/>
    <mergeCell ref="BZ26:CB26"/>
    <mergeCell ref="CC26:CM26"/>
    <mergeCell ref="BR24:BU24"/>
    <mergeCell ref="BV22:BW22"/>
    <mergeCell ref="BX22:BY22"/>
    <mergeCell ref="BZ22:CB22"/>
    <mergeCell ref="CC22:CM22"/>
    <mergeCell ref="BV23:BW23"/>
    <mergeCell ref="BX23:BY23"/>
    <mergeCell ref="BZ23:CB23"/>
    <mergeCell ref="CC23:CM23"/>
    <mergeCell ref="BZ27:CB27"/>
    <mergeCell ref="CC27:CM27"/>
    <mergeCell ref="BR22:BU22"/>
    <mergeCell ref="BR25:BU25"/>
    <mergeCell ref="BV24:BW24"/>
    <mergeCell ref="BX24:BY24"/>
    <mergeCell ref="AG26:AQ26"/>
    <mergeCell ref="AR26:BB26"/>
    <mergeCell ref="BC26:BE26"/>
    <mergeCell ref="BF26:BG26"/>
    <mergeCell ref="I26:L26"/>
    <mergeCell ref="I27:L27"/>
    <mergeCell ref="C26:H26"/>
    <mergeCell ref="M26:P26"/>
    <mergeCell ref="R26:U26"/>
    <mergeCell ref="BH27:BI27"/>
    <mergeCell ref="BJ27:BK27"/>
    <mergeCell ref="BL27:BM27"/>
    <mergeCell ref="BN27:BQ27"/>
    <mergeCell ref="V27:X27"/>
    <mergeCell ref="Z27:AB27"/>
    <mergeCell ref="BR27:BU27"/>
    <mergeCell ref="BR26:BU26"/>
    <mergeCell ref="BL71:BM71"/>
    <mergeCell ref="BN71:BR72"/>
    <mergeCell ref="CD71:CG71"/>
    <mergeCell ref="CH71:CJ71"/>
    <mergeCell ref="CK71:CM71"/>
    <mergeCell ref="AR72:AS72"/>
    <mergeCell ref="AT72:AW72"/>
    <mergeCell ref="AX72:AZ72"/>
    <mergeCell ref="BA72:BI72"/>
    <mergeCell ref="BJ72:BK72"/>
    <mergeCell ref="V71:AA72"/>
    <mergeCell ref="AR71:AS71"/>
    <mergeCell ref="AT71:AW71"/>
    <mergeCell ref="AX71:AZ71"/>
    <mergeCell ref="BA71:BI71"/>
    <mergeCell ref="BJ71:BK71"/>
    <mergeCell ref="A65:CM65"/>
    <mergeCell ref="A66:CM66"/>
    <mergeCell ref="A67:CM67"/>
    <mergeCell ref="A68:B70"/>
    <mergeCell ref="C68:CM68"/>
    <mergeCell ref="C69:CM69"/>
    <mergeCell ref="C70:CM70"/>
    <mergeCell ref="CD73:CG73"/>
    <mergeCell ref="CH73:CJ73"/>
    <mergeCell ref="CK73:CM73"/>
    <mergeCell ref="AR74:AS74"/>
    <mergeCell ref="AT74:AW74"/>
    <mergeCell ref="AX74:AZ74"/>
    <mergeCell ref="BA74:BI74"/>
    <mergeCell ref="BJ74:BK74"/>
    <mergeCell ref="BL74:BM74"/>
    <mergeCell ref="CD74:CM75"/>
    <mergeCell ref="BL72:BM72"/>
    <mergeCell ref="CD72:CG72"/>
    <mergeCell ref="CH72:CJ72"/>
    <mergeCell ref="CK72:CM72"/>
    <mergeCell ref="AR73:AS73"/>
    <mergeCell ref="AT73:AW73"/>
    <mergeCell ref="AX73:AZ73"/>
    <mergeCell ref="BA73:BI73"/>
    <mergeCell ref="BJ73:BK73"/>
    <mergeCell ref="BL73:BM73"/>
    <mergeCell ref="CD76:CG76"/>
    <mergeCell ref="CH76:CJ76"/>
    <mergeCell ref="CK76:CM76"/>
    <mergeCell ref="AR77:AS77"/>
    <mergeCell ref="AT77:AW77"/>
    <mergeCell ref="AX77:AZ77"/>
    <mergeCell ref="BA77:BI77"/>
    <mergeCell ref="BJ77:BK77"/>
    <mergeCell ref="BL77:BM77"/>
    <mergeCell ref="CD77:CG78"/>
    <mergeCell ref="AR76:AS76"/>
    <mergeCell ref="AT76:AW76"/>
    <mergeCell ref="AX76:AZ76"/>
    <mergeCell ref="BA76:BI76"/>
    <mergeCell ref="BJ76:BK76"/>
    <mergeCell ref="BL76:BM76"/>
    <mergeCell ref="AR75:AS75"/>
    <mergeCell ref="AT75:AW75"/>
    <mergeCell ref="AX75:AZ75"/>
    <mergeCell ref="BA75:BI75"/>
    <mergeCell ref="BJ75:BK75"/>
    <mergeCell ref="BL75:BM75"/>
    <mergeCell ref="CK77:CM78"/>
    <mergeCell ref="AR78:AS78"/>
    <mergeCell ref="AT78:AW78"/>
    <mergeCell ref="AX78:AZ78"/>
    <mergeCell ref="BA78:BI78"/>
    <mergeCell ref="BJ78:BK78"/>
    <mergeCell ref="BL78:BM78"/>
    <mergeCell ref="BL93:BN93"/>
    <mergeCell ref="BO93:BQ93"/>
    <mergeCell ref="BR93:BT93"/>
    <mergeCell ref="D94:N94"/>
    <mergeCell ref="O94:P94"/>
    <mergeCell ref="R94:U94"/>
    <mergeCell ref="AV87:AY87"/>
    <mergeCell ref="AZ87:BB87"/>
    <mergeCell ref="AZ92:BB92"/>
    <mergeCell ref="BM92:BO92"/>
    <mergeCell ref="CH88:CK89"/>
    <mergeCell ref="BM90:BO90"/>
    <mergeCell ref="AV89:AY89"/>
    <mergeCell ref="AZ89:BB89"/>
    <mergeCell ref="BC89:BK89"/>
    <mergeCell ref="AZ85:BB85"/>
    <mergeCell ref="BC85:BK85"/>
    <mergeCell ref="CK86:CM86"/>
    <mergeCell ref="AV86:AY86"/>
    <mergeCell ref="V93:W93"/>
    <mergeCell ref="X93:AA93"/>
    <mergeCell ref="AB93:AH93"/>
    <mergeCell ref="AI93:AK93"/>
    <mergeCell ref="AL93:AO93"/>
    <mergeCell ref="CK90:CP90"/>
    <mergeCell ref="CN87:CP87"/>
    <mergeCell ref="BM88:BO88"/>
    <mergeCell ref="AT90:AU90"/>
    <mergeCell ref="AV90:AY90"/>
    <mergeCell ref="CK87:CM87"/>
    <mergeCell ref="CL88:CP89"/>
    <mergeCell ref="CK91:CP92"/>
    <mergeCell ref="AB96:AH96"/>
    <mergeCell ref="AI96:AK96"/>
    <mergeCell ref="AL96:AO96"/>
    <mergeCell ref="AP96:AT96"/>
    <mergeCell ref="AU96:AX96"/>
    <mergeCell ref="AY96:BB96"/>
    <mergeCell ref="BR94:BT94"/>
    <mergeCell ref="Z88:AS92"/>
    <mergeCell ref="AT89:AU89"/>
    <mergeCell ref="C87:C88"/>
    <mergeCell ref="CH77:CJ78"/>
    <mergeCell ref="Z85:AH86"/>
    <mergeCell ref="AT85:AU85"/>
    <mergeCell ref="AV85:AY85"/>
    <mergeCell ref="AA87:AS87"/>
    <mergeCell ref="AK86:AR86"/>
    <mergeCell ref="BC87:BK87"/>
    <mergeCell ref="BM87:BO87"/>
    <mergeCell ref="AT86:AU86"/>
    <mergeCell ref="BD94:BE94"/>
    <mergeCell ref="BF94:BG94"/>
    <mergeCell ref="BH94:BI94"/>
    <mergeCell ref="BJ94:BK94"/>
    <mergeCell ref="BL94:BN94"/>
    <mergeCell ref="BO94:BQ94"/>
    <mergeCell ref="AB94:AH94"/>
    <mergeCell ref="AI94:AK94"/>
    <mergeCell ref="AL94:AO94"/>
    <mergeCell ref="AP94:AT94"/>
    <mergeCell ref="AU94:AX94"/>
    <mergeCell ref="AY94:BB94"/>
    <mergeCell ref="BJ93:BK93"/>
    <mergeCell ref="R95:U95"/>
    <mergeCell ref="V95:W95"/>
    <mergeCell ref="X95:AA95"/>
    <mergeCell ref="AB95:AH95"/>
    <mergeCell ref="AI95:AK95"/>
    <mergeCell ref="AL95:AO95"/>
    <mergeCell ref="V94:W94"/>
    <mergeCell ref="X94:AA94"/>
    <mergeCell ref="AP93:AT93"/>
    <mergeCell ref="AU93:AX93"/>
    <mergeCell ref="AY93:BB93"/>
    <mergeCell ref="BD93:BE93"/>
    <mergeCell ref="BF93:BG93"/>
    <mergeCell ref="BH93:BI93"/>
    <mergeCell ref="D93:N93"/>
    <mergeCell ref="O93:P93"/>
    <mergeCell ref="R93:U93"/>
    <mergeCell ref="BR96:BT96"/>
    <mergeCell ref="D97:N97"/>
    <mergeCell ref="O97:P97"/>
    <mergeCell ref="R97:U97"/>
    <mergeCell ref="V97:W97"/>
    <mergeCell ref="X97:AA97"/>
    <mergeCell ref="AB97:AH97"/>
    <mergeCell ref="AI97:AK97"/>
    <mergeCell ref="AL97:AO97"/>
    <mergeCell ref="BD96:BE96"/>
    <mergeCell ref="BF96:BG96"/>
    <mergeCell ref="BH96:BI96"/>
    <mergeCell ref="BJ96:BK96"/>
    <mergeCell ref="BL96:BN96"/>
    <mergeCell ref="BO96:BQ96"/>
    <mergeCell ref="BJ95:BK95"/>
    <mergeCell ref="BL95:BN95"/>
    <mergeCell ref="BO95:BQ95"/>
    <mergeCell ref="BR95:BT95"/>
    <mergeCell ref="D96:N96"/>
    <mergeCell ref="O96:P96"/>
    <mergeCell ref="R96:U96"/>
    <mergeCell ref="V96:W96"/>
    <mergeCell ref="X96:AA96"/>
    <mergeCell ref="AP95:AT95"/>
    <mergeCell ref="AU95:AX95"/>
    <mergeCell ref="AY95:BB95"/>
    <mergeCell ref="BD95:BE95"/>
    <mergeCell ref="BF95:BG95"/>
    <mergeCell ref="BH95:BI95"/>
    <mergeCell ref="D95:N95"/>
    <mergeCell ref="O95:P95"/>
    <mergeCell ref="AL98:AO98"/>
    <mergeCell ref="AP98:AT98"/>
    <mergeCell ref="AU98:AX98"/>
    <mergeCell ref="AY98:BB98"/>
    <mergeCell ref="BJ97:BK97"/>
    <mergeCell ref="BL97:BN97"/>
    <mergeCell ref="BO97:BQ97"/>
    <mergeCell ref="BR97:BT97"/>
    <mergeCell ref="D98:N98"/>
    <mergeCell ref="O98:P98"/>
    <mergeCell ref="R98:U98"/>
    <mergeCell ref="V98:W98"/>
    <mergeCell ref="X98:AA98"/>
    <mergeCell ref="AP97:AT97"/>
    <mergeCell ref="AU97:AX97"/>
    <mergeCell ref="AY97:BB97"/>
    <mergeCell ref="BD97:BE97"/>
    <mergeCell ref="BF97:BG97"/>
    <mergeCell ref="BH97:BI97"/>
    <mergeCell ref="BJ99:BK99"/>
    <mergeCell ref="BL99:BN99"/>
    <mergeCell ref="BO99:BQ99"/>
    <mergeCell ref="BR99:BT99"/>
    <mergeCell ref="D100:N100"/>
    <mergeCell ref="O100:P100"/>
    <mergeCell ref="R100:U100"/>
    <mergeCell ref="V100:W100"/>
    <mergeCell ref="X100:AA100"/>
    <mergeCell ref="AP99:AT99"/>
    <mergeCell ref="AU99:AX99"/>
    <mergeCell ref="AY99:BB99"/>
    <mergeCell ref="BD99:BE99"/>
    <mergeCell ref="BF99:BG99"/>
    <mergeCell ref="BH99:BI99"/>
    <mergeCell ref="BR98:BT98"/>
    <mergeCell ref="D99:N99"/>
    <mergeCell ref="O99:P99"/>
    <mergeCell ref="R99:U99"/>
    <mergeCell ref="V99:W99"/>
    <mergeCell ref="X99:AA99"/>
    <mergeCell ref="AB99:AH99"/>
    <mergeCell ref="AI99:AK99"/>
    <mergeCell ref="AL99:AO99"/>
    <mergeCell ref="BD98:BE98"/>
    <mergeCell ref="BF98:BG98"/>
    <mergeCell ref="BH98:BI98"/>
    <mergeCell ref="BJ98:BK98"/>
    <mergeCell ref="BL98:BN98"/>
    <mergeCell ref="BO98:BQ98"/>
    <mergeCell ref="AB98:AH98"/>
    <mergeCell ref="AI98:AK98"/>
    <mergeCell ref="BR100:BT100"/>
    <mergeCell ref="D101:N101"/>
    <mergeCell ref="O101:P101"/>
    <mergeCell ref="R101:U101"/>
    <mergeCell ref="V101:W101"/>
    <mergeCell ref="X101:AA101"/>
    <mergeCell ref="AB101:AH101"/>
    <mergeCell ref="AI101:AK101"/>
    <mergeCell ref="AL101:AO101"/>
    <mergeCell ref="BD100:BE100"/>
    <mergeCell ref="BF100:BG100"/>
    <mergeCell ref="BH100:BI100"/>
    <mergeCell ref="BJ100:BK100"/>
    <mergeCell ref="BL100:BN100"/>
    <mergeCell ref="BO100:BQ100"/>
    <mergeCell ref="AB100:AH100"/>
    <mergeCell ref="AI100:AK100"/>
    <mergeCell ref="AL100:AO100"/>
    <mergeCell ref="AP100:AT100"/>
    <mergeCell ref="AU100:AX100"/>
    <mergeCell ref="AY100:BB100"/>
    <mergeCell ref="AL102:AO102"/>
    <mergeCell ref="AP102:AT102"/>
    <mergeCell ref="AU102:AX102"/>
    <mergeCell ref="AY102:BB102"/>
    <mergeCell ref="BJ101:BK101"/>
    <mergeCell ref="BL101:BN101"/>
    <mergeCell ref="BO101:BQ101"/>
    <mergeCell ref="BR101:BT101"/>
    <mergeCell ref="D102:N102"/>
    <mergeCell ref="O102:P102"/>
    <mergeCell ref="R102:U102"/>
    <mergeCell ref="V102:W102"/>
    <mergeCell ref="X102:AA102"/>
    <mergeCell ref="AP101:AT101"/>
    <mergeCell ref="AU101:AX101"/>
    <mergeCell ref="AY101:BB101"/>
    <mergeCell ref="BD101:BE101"/>
    <mergeCell ref="BF101:BG101"/>
    <mergeCell ref="BH101:BI101"/>
    <mergeCell ref="BJ103:BK103"/>
    <mergeCell ref="BL103:BN103"/>
    <mergeCell ref="BO103:BQ103"/>
    <mergeCell ref="BR103:BT103"/>
    <mergeCell ref="D104:N104"/>
    <mergeCell ref="O104:P104"/>
    <mergeCell ref="R104:U104"/>
    <mergeCell ref="V104:W104"/>
    <mergeCell ref="X104:AA104"/>
    <mergeCell ref="AP103:AT103"/>
    <mergeCell ref="AU103:AX103"/>
    <mergeCell ref="AY103:BB103"/>
    <mergeCell ref="BD103:BE103"/>
    <mergeCell ref="BF103:BG103"/>
    <mergeCell ref="BH103:BI103"/>
    <mergeCell ref="BR102:BT102"/>
    <mergeCell ref="D103:N103"/>
    <mergeCell ref="O103:P103"/>
    <mergeCell ref="R103:U103"/>
    <mergeCell ref="V103:W103"/>
    <mergeCell ref="X103:AA103"/>
    <mergeCell ref="AB103:AH103"/>
    <mergeCell ref="AI103:AK103"/>
    <mergeCell ref="AL103:AO103"/>
    <mergeCell ref="BD102:BE102"/>
    <mergeCell ref="BF102:BG102"/>
    <mergeCell ref="BH102:BI102"/>
    <mergeCell ref="BJ102:BK102"/>
    <mergeCell ref="BL102:BN102"/>
    <mergeCell ref="BO102:BQ102"/>
    <mergeCell ref="AB102:AH102"/>
    <mergeCell ref="AI102:AK102"/>
    <mergeCell ref="BR104:BT104"/>
    <mergeCell ref="D105:N105"/>
    <mergeCell ref="O105:P105"/>
    <mergeCell ref="R105:U105"/>
    <mergeCell ref="V105:W105"/>
    <mergeCell ref="X105:AA105"/>
    <mergeCell ref="AB105:AH105"/>
    <mergeCell ref="AI105:AK105"/>
    <mergeCell ref="AL105:AO105"/>
    <mergeCell ref="BD104:BE104"/>
    <mergeCell ref="BF104:BG104"/>
    <mergeCell ref="BH104:BI104"/>
    <mergeCell ref="BJ104:BK104"/>
    <mergeCell ref="BL104:BN104"/>
    <mergeCell ref="BO104:BQ104"/>
    <mergeCell ref="AB104:AH104"/>
    <mergeCell ref="AI104:AK104"/>
    <mergeCell ref="AL104:AO104"/>
    <mergeCell ref="AP104:AT104"/>
    <mergeCell ref="AU104:AX104"/>
    <mergeCell ref="AY104:BB104"/>
    <mergeCell ref="AL106:AO106"/>
    <mergeCell ref="AP106:AT106"/>
    <mergeCell ref="AU106:AX106"/>
    <mergeCell ref="AY106:BB106"/>
    <mergeCell ref="BJ105:BK105"/>
    <mergeCell ref="BL105:BN105"/>
    <mergeCell ref="BO105:BQ105"/>
    <mergeCell ref="BR105:BT105"/>
    <mergeCell ref="D106:N106"/>
    <mergeCell ref="O106:P106"/>
    <mergeCell ref="R106:U106"/>
    <mergeCell ref="V106:W106"/>
    <mergeCell ref="X106:AA106"/>
    <mergeCell ref="AP105:AT105"/>
    <mergeCell ref="AU105:AX105"/>
    <mergeCell ref="AY105:BB105"/>
    <mergeCell ref="BD105:BE105"/>
    <mergeCell ref="BF105:BG105"/>
    <mergeCell ref="BH105:BI105"/>
    <mergeCell ref="BJ107:BK107"/>
    <mergeCell ref="BL107:BN107"/>
    <mergeCell ref="BO107:BQ107"/>
    <mergeCell ref="BR107:BT107"/>
    <mergeCell ref="D108:N108"/>
    <mergeCell ref="O108:P108"/>
    <mergeCell ref="R108:U108"/>
    <mergeCell ref="V108:W108"/>
    <mergeCell ref="X108:AA108"/>
    <mergeCell ref="AP107:AT107"/>
    <mergeCell ref="AU107:AX107"/>
    <mergeCell ref="AY107:BB107"/>
    <mergeCell ref="BD107:BE107"/>
    <mergeCell ref="BF107:BG107"/>
    <mergeCell ref="BH107:BI107"/>
    <mergeCell ref="BR106:BT106"/>
    <mergeCell ref="D107:N107"/>
    <mergeCell ref="O107:P107"/>
    <mergeCell ref="R107:U107"/>
    <mergeCell ref="V107:W107"/>
    <mergeCell ref="X107:AA107"/>
    <mergeCell ref="AB107:AH107"/>
    <mergeCell ref="AI107:AK107"/>
    <mergeCell ref="AL107:AO107"/>
    <mergeCell ref="BD106:BE106"/>
    <mergeCell ref="BF106:BG106"/>
    <mergeCell ref="BH106:BI106"/>
    <mergeCell ref="BJ106:BK106"/>
    <mergeCell ref="BL106:BN106"/>
    <mergeCell ref="BO106:BQ106"/>
    <mergeCell ref="AB106:AH106"/>
    <mergeCell ref="AI106:AK106"/>
    <mergeCell ref="BR108:BT108"/>
    <mergeCell ref="D109:N109"/>
    <mergeCell ref="O109:P109"/>
    <mergeCell ref="R109:U109"/>
    <mergeCell ref="V109:W109"/>
    <mergeCell ref="X109:AA109"/>
    <mergeCell ref="AB109:AH109"/>
    <mergeCell ref="AI109:AK109"/>
    <mergeCell ref="AL109:AO109"/>
    <mergeCell ref="BD108:BE108"/>
    <mergeCell ref="BF108:BG108"/>
    <mergeCell ref="BH108:BI108"/>
    <mergeCell ref="BJ108:BK108"/>
    <mergeCell ref="BL108:BN108"/>
    <mergeCell ref="BO108:BQ108"/>
    <mergeCell ref="AB108:AH108"/>
    <mergeCell ref="AI108:AK108"/>
    <mergeCell ref="AL108:AO108"/>
    <mergeCell ref="AP108:AT108"/>
    <mergeCell ref="AU108:AX108"/>
    <mergeCell ref="AY108:BB108"/>
    <mergeCell ref="AL110:AO110"/>
    <mergeCell ref="AP110:AT110"/>
    <mergeCell ref="AU110:AX110"/>
    <mergeCell ref="AY110:BB110"/>
    <mergeCell ref="BJ109:BK109"/>
    <mergeCell ref="BL109:BN109"/>
    <mergeCell ref="BO109:BQ109"/>
    <mergeCell ref="BR109:BT109"/>
    <mergeCell ref="D110:N110"/>
    <mergeCell ref="O110:P110"/>
    <mergeCell ref="R110:U110"/>
    <mergeCell ref="V110:W110"/>
    <mergeCell ref="X110:AA110"/>
    <mergeCell ref="AP109:AT109"/>
    <mergeCell ref="AU109:AX109"/>
    <mergeCell ref="AY109:BB109"/>
    <mergeCell ref="BD109:BE109"/>
    <mergeCell ref="BF109:BG109"/>
    <mergeCell ref="BH109:BI109"/>
    <mergeCell ref="BJ111:BK111"/>
    <mergeCell ref="BL111:BN111"/>
    <mergeCell ref="BO111:BQ111"/>
    <mergeCell ref="BR111:BT111"/>
    <mergeCell ref="D112:N112"/>
    <mergeCell ref="O112:P112"/>
    <mergeCell ref="R112:U112"/>
    <mergeCell ref="V112:W112"/>
    <mergeCell ref="X112:AA112"/>
    <mergeCell ref="AP111:AT111"/>
    <mergeCell ref="AU111:AX111"/>
    <mergeCell ref="AY111:BB111"/>
    <mergeCell ref="BD111:BE111"/>
    <mergeCell ref="BF111:BG111"/>
    <mergeCell ref="BH111:BI111"/>
    <mergeCell ref="BR110:BT110"/>
    <mergeCell ref="D111:N111"/>
    <mergeCell ref="O111:P111"/>
    <mergeCell ref="R111:U111"/>
    <mergeCell ref="V111:W111"/>
    <mergeCell ref="X111:AA111"/>
    <mergeCell ref="AB111:AH111"/>
    <mergeCell ref="AI111:AK111"/>
    <mergeCell ref="AL111:AO111"/>
    <mergeCell ref="BD110:BE110"/>
    <mergeCell ref="BF110:BG110"/>
    <mergeCell ref="BH110:BI110"/>
    <mergeCell ref="BJ110:BK110"/>
    <mergeCell ref="BL110:BN110"/>
    <mergeCell ref="BO110:BQ110"/>
    <mergeCell ref="AB110:AH110"/>
    <mergeCell ref="AI110:AK110"/>
    <mergeCell ref="BR112:BT112"/>
    <mergeCell ref="D113:N113"/>
    <mergeCell ref="O113:P113"/>
    <mergeCell ref="R113:U113"/>
    <mergeCell ref="V113:W113"/>
    <mergeCell ref="X113:AA113"/>
    <mergeCell ref="AB113:AH113"/>
    <mergeCell ref="AI113:AK113"/>
    <mergeCell ref="AL113:AO113"/>
    <mergeCell ref="BD112:BE112"/>
    <mergeCell ref="BF112:BG112"/>
    <mergeCell ref="BH112:BI112"/>
    <mergeCell ref="BJ112:BK112"/>
    <mergeCell ref="BL112:BN112"/>
    <mergeCell ref="BO112:BQ112"/>
    <mergeCell ref="AB112:AH112"/>
    <mergeCell ref="AI112:AK112"/>
    <mergeCell ref="AL112:AO112"/>
    <mergeCell ref="AP112:AT112"/>
    <mergeCell ref="AU112:AX112"/>
    <mergeCell ref="AY112:BB112"/>
    <mergeCell ref="AL114:AO114"/>
    <mergeCell ref="AP114:AT114"/>
    <mergeCell ref="AU114:AX114"/>
    <mergeCell ref="AY114:BB114"/>
    <mergeCell ref="BJ113:BK113"/>
    <mergeCell ref="BL113:BN113"/>
    <mergeCell ref="BO113:BQ113"/>
    <mergeCell ref="BR113:BT113"/>
    <mergeCell ref="D114:N114"/>
    <mergeCell ref="O114:P114"/>
    <mergeCell ref="R114:U114"/>
    <mergeCell ref="V114:W114"/>
    <mergeCell ref="X114:AA114"/>
    <mergeCell ref="AP113:AT113"/>
    <mergeCell ref="AU113:AX113"/>
    <mergeCell ref="AY113:BB113"/>
    <mergeCell ref="BD113:BE113"/>
    <mergeCell ref="BF113:BG113"/>
    <mergeCell ref="BH113:BI113"/>
    <mergeCell ref="BJ115:BK115"/>
    <mergeCell ref="BL115:BN115"/>
    <mergeCell ref="BO115:BQ115"/>
    <mergeCell ref="BR115:BT115"/>
    <mergeCell ref="D116:N116"/>
    <mergeCell ref="O116:P116"/>
    <mergeCell ref="R116:U116"/>
    <mergeCell ref="V116:W116"/>
    <mergeCell ref="X116:AA116"/>
    <mergeCell ref="AP115:AT115"/>
    <mergeCell ref="AU115:AX115"/>
    <mergeCell ref="AY115:BB115"/>
    <mergeCell ref="BD115:BE115"/>
    <mergeCell ref="BF115:BG115"/>
    <mergeCell ref="BH115:BI115"/>
    <mergeCell ref="BR114:BT114"/>
    <mergeCell ref="D115:N115"/>
    <mergeCell ref="O115:P115"/>
    <mergeCell ref="R115:U115"/>
    <mergeCell ref="V115:W115"/>
    <mergeCell ref="X115:AA115"/>
    <mergeCell ref="AB115:AH115"/>
    <mergeCell ref="AI115:AK115"/>
    <mergeCell ref="AL115:AO115"/>
    <mergeCell ref="BD114:BE114"/>
    <mergeCell ref="BF114:BG114"/>
    <mergeCell ref="BH114:BI114"/>
    <mergeCell ref="BJ114:BK114"/>
    <mergeCell ref="BL114:BN114"/>
    <mergeCell ref="BO114:BQ114"/>
    <mergeCell ref="AB114:AH114"/>
    <mergeCell ref="AI114:AK114"/>
    <mergeCell ref="BR116:BT116"/>
    <mergeCell ref="D117:N117"/>
    <mergeCell ref="O117:P117"/>
    <mergeCell ref="R117:U117"/>
    <mergeCell ref="V117:W117"/>
    <mergeCell ref="X117:AA117"/>
    <mergeCell ref="AB117:AH117"/>
    <mergeCell ref="AI117:AK117"/>
    <mergeCell ref="AL117:AO117"/>
    <mergeCell ref="BD116:BE116"/>
    <mergeCell ref="BF116:BG116"/>
    <mergeCell ref="BH116:BI116"/>
    <mergeCell ref="BJ116:BK116"/>
    <mergeCell ref="BL116:BN116"/>
    <mergeCell ref="BO116:BQ116"/>
    <mergeCell ref="AB116:AH116"/>
    <mergeCell ref="AI116:AK116"/>
    <mergeCell ref="AL116:AO116"/>
    <mergeCell ref="AP116:AT116"/>
    <mergeCell ref="AU116:AX116"/>
    <mergeCell ref="AY116:BB116"/>
    <mergeCell ref="AL118:AO118"/>
    <mergeCell ref="AP118:AT118"/>
    <mergeCell ref="AU118:AX118"/>
    <mergeCell ref="AY118:BB118"/>
    <mergeCell ref="BJ117:BK117"/>
    <mergeCell ref="BL117:BN117"/>
    <mergeCell ref="BO117:BQ117"/>
    <mergeCell ref="BR117:BT117"/>
    <mergeCell ref="D118:N118"/>
    <mergeCell ref="O118:P118"/>
    <mergeCell ref="R118:U118"/>
    <mergeCell ref="V118:W118"/>
    <mergeCell ref="X118:AA118"/>
    <mergeCell ref="AP117:AT117"/>
    <mergeCell ref="AU117:AX117"/>
    <mergeCell ref="AY117:BB117"/>
    <mergeCell ref="BD117:BE117"/>
    <mergeCell ref="BF117:BG117"/>
    <mergeCell ref="BH117:BI117"/>
    <mergeCell ref="BJ119:BK119"/>
    <mergeCell ref="BL119:BN119"/>
    <mergeCell ref="BO119:BQ119"/>
    <mergeCell ref="BR119:BT119"/>
    <mergeCell ref="D120:N120"/>
    <mergeCell ref="O120:P120"/>
    <mergeCell ref="R120:U120"/>
    <mergeCell ref="V120:W120"/>
    <mergeCell ref="X120:AA120"/>
    <mergeCell ref="AP119:AT119"/>
    <mergeCell ref="AU119:AX119"/>
    <mergeCell ref="AY119:BB119"/>
    <mergeCell ref="BD119:BE119"/>
    <mergeCell ref="BF119:BG119"/>
    <mergeCell ref="BH119:BI119"/>
    <mergeCell ref="BR118:BT118"/>
    <mergeCell ref="D119:N119"/>
    <mergeCell ref="O119:P119"/>
    <mergeCell ref="R119:U119"/>
    <mergeCell ref="V119:W119"/>
    <mergeCell ref="X119:AA119"/>
    <mergeCell ref="AB119:AH119"/>
    <mergeCell ref="AI119:AK119"/>
    <mergeCell ref="AL119:AO119"/>
    <mergeCell ref="BD118:BE118"/>
    <mergeCell ref="BF118:BG118"/>
    <mergeCell ref="BH118:BI118"/>
    <mergeCell ref="BJ118:BK118"/>
    <mergeCell ref="BL118:BN118"/>
    <mergeCell ref="BO118:BQ118"/>
    <mergeCell ref="AB118:AH118"/>
    <mergeCell ref="AI118:AK118"/>
    <mergeCell ref="BR120:BT120"/>
    <mergeCell ref="D121:N121"/>
    <mergeCell ref="O121:P121"/>
    <mergeCell ref="R121:U121"/>
    <mergeCell ref="V121:W121"/>
    <mergeCell ref="X121:AA121"/>
    <mergeCell ref="AB121:AH121"/>
    <mergeCell ref="AI121:AK121"/>
    <mergeCell ref="AL121:AO121"/>
    <mergeCell ref="BD120:BE120"/>
    <mergeCell ref="BF120:BG120"/>
    <mergeCell ref="BH120:BI120"/>
    <mergeCell ref="BJ120:BK120"/>
    <mergeCell ref="BL120:BN120"/>
    <mergeCell ref="BO120:BQ120"/>
    <mergeCell ref="AB120:AH120"/>
    <mergeCell ref="AI120:AK120"/>
    <mergeCell ref="AL120:AO120"/>
    <mergeCell ref="AP120:AT120"/>
    <mergeCell ref="AU120:AX120"/>
    <mergeCell ref="AY120:BB120"/>
    <mergeCell ref="AL122:AO122"/>
    <mergeCell ref="AP122:AT122"/>
    <mergeCell ref="AU122:AX122"/>
    <mergeCell ref="AY122:BB122"/>
    <mergeCell ref="BJ121:BK121"/>
    <mergeCell ref="BL121:BN121"/>
    <mergeCell ref="BO121:BQ121"/>
    <mergeCell ref="BR121:BT121"/>
    <mergeCell ref="D122:N122"/>
    <mergeCell ref="O122:P122"/>
    <mergeCell ref="R122:U122"/>
    <mergeCell ref="V122:W122"/>
    <mergeCell ref="X122:AA122"/>
    <mergeCell ref="AP121:AT121"/>
    <mergeCell ref="AU121:AX121"/>
    <mergeCell ref="AY121:BB121"/>
    <mergeCell ref="BD121:BE121"/>
    <mergeCell ref="BF121:BG121"/>
    <mergeCell ref="BH121:BI121"/>
    <mergeCell ref="BJ123:BK123"/>
    <mergeCell ref="BL123:BN123"/>
    <mergeCell ref="BO123:BQ123"/>
    <mergeCell ref="BR123:BT123"/>
    <mergeCell ref="D124:N124"/>
    <mergeCell ref="O124:P124"/>
    <mergeCell ref="R124:U124"/>
    <mergeCell ref="V124:W124"/>
    <mergeCell ref="X124:AA124"/>
    <mergeCell ref="AP123:AT123"/>
    <mergeCell ref="AU123:AX123"/>
    <mergeCell ref="AY123:BB123"/>
    <mergeCell ref="BD123:BE123"/>
    <mergeCell ref="BF123:BG123"/>
    <mergeCell ref="BH123:BI123"/>
    <mergeCell ref="BR122:BT122"/>
    <mergeCell ref="D123:N123"/>
    <mergeCell ref="O123:P123"/>
    <mergeCell ref="R123:U123"/>
    <mergeCell ref="V123:W123"/>
    <mergeCell ref="X123:AA123"/>
    <mergeCell ref="AB123:AH123"/>
    <mergeCell ref="AI123:AK123"/>
    <mergeCell ref="AL123:AO123"/>
    <mergeCell ref="BD122:BE122"/>
    <mergeCell ref="BF122:BG122"/>
    <mergeCell ref="BH122:BI122"/>
    <mergeCell ref="BJ122:BK122"/>
    <mergeCell ref="BL122:BN122"/>
    <mergeCell ref="BO122:BQ122"/>
    <mergeCell ref="AB122:AH122"/>
    <mergeCell ref="AI122:AK122"/>
    <mergeCell ref="D126:N126"/>
    <mergeCell ref="O126:P126"/>
    <mergeCell ref="R126:U126"/>
    <mergeCell ref="V126:W126"/>
    <mergeCell ref="X126:AA126"/>
    <mergeCell ref="AP125:AT125"/>
    <mergeCell ref="AU125:AX125"/>
    <mergeCell ref="AY125:BB125"/>
    <mergeCell ref="BD125:BE125"/>
    <mergeCell ref="BF125:BG125"/>
    <mergeCell ref="BH125:BI125"/>
    <mergeCell ref="BR124:BT124"/>
    <mergeCell ref="D125:N125"/>
    <mergeCell ref="O125:P125"/>
    <mergeCell ref="R125:U125"/>
    <mergeCell ref="V125:W125"/>
    <mergeCell ref="X125:AA125"/>
    <mergeCell ref="AB125:AH125"/>
    <mergeCell ref="AI125:AK125"/>
    <mergeCell ref="AL125:AO125"/>
    <mergeCell ref="BD124:BE124"/>
    <mergeCell ref="BF124:BG124"/>
    <mergeCell ref="BH124:BI124"/>
    <mergeCell ref="BJ124:BK124"/>
    <mergeCell ref="BL124:BN124"/>
    <mergeCell ref="BO124:BQ124"/>
    <mergeCell ref="AB124:AH124"/>
    <mergeCell ref="AI124:AK124"/>
    <mergeCell ref="AL124:AO124"/>
    <mergeCell ref="AP124:AT124"/>
    <mergeCell ref="AU124:AX124"/>
    <mergeCell ref="AY124:BB124"/>
    <mergeCell ref="BR126:BT126"/>
    <mergeCell ref="BD126:BE126"/>
    <mergeCell ref="BF126:BG126"/>
    <mergeCell ref="BH126:BI126"/>
    <mergeCell ref="BJ126:BK126"/>
    <mergeCell ref="BL126:BN126"/>
    <mergeCell ref="BO126:BQ126"/>
    <mergeCell ref="AB126:AH126"/>
    <mergeCell ref="AI126:AK126"/>
    <mergeCell ref="AL126:AO126"/>
    <mergeCell ref="AP126:AT126"/>
    <mergeCell ref="AU126:AX126"/>
    <mergeCell ref="AY126:BB126"/>
    <mergeCell ref="BJ125:BK125"/>
    <mergeCell ref="BL125:BN125"/>
    <mergeCell ref="BO125:BQ125"/>
    <mergeCell ref="BR125:BT125"/>
    <mergeCell ref="A7:B7"/>
    <mergeCell ref="A8:B8"/>
    <mergeCell ref="A9:B9"/>
    <mergeCell ref="A10:B10"/>
    <mergeCell ref="A11:B11"/>
    <mergeCell ref="A12:B12"/>
    <mergeCell ref="A13:B13"/>
    <mergeCell ref="A15:B15"/>
    <mergeCell ref="A16:B16"/>
    <mergeCell ref="A18:B18"/>
    <mergeCell ref="A19:B19"/>
    <mergeCell ref="A20:B20"/>
    <mergeCell ref="A21:B21"/>
    <mergeCell ref="A17:B17"/>
    <mergeCell ref="A14:B14"/>
    <mergeCell ref="A52:B52"/>
    <mergeCell ref="A39:B39"/>
    <mergeCell ref="A41:B41"/>
    <mergeCell ref="A43:B43"/>
    <mergeCell ref="A45:B45"/>
    <mergeCell ref="A47:B47"/>
    <mergeCell ref="A28:B28"/>
    <mergeCell ref="A30:B30"/>
    <mergeCell ref="A32:B32"/>
    <mergeCell ref="A35:B35"/>
    <mergeCell ref="A38:B38"/>
    <mergeCell ref="A31:B31"/>
    <mergeCell ref="A34:B34"/>
    <mergeCell ref="A37:B37"/>
    <mergeCell ref="A49:B49"/>
    <mergeCell ref="A50:B50"/>
    <mergeCell ref="A51:B51"/>
    <mergeCell ref="A22:B22"/>
    <mergeCell ref="A23:B23"/>
    <mergeCell ref="A24:B24"/>
    <mergeCell ref="A25:B25"/>
    <mergeCell ref="A26:B26"/>
    <mergeCell ref="A27:B27"/>
    <mergeCell ref="BJ25:BK25"/>
    <mergeCell ref="BL25:BM25"/>
    <mergeCell ref="BN25:BQ25"/>
    <mergeCell ref="V25:X25"/>
    <mergeCell ref="Z25:AB25"/>
    <mergeCell ref="AG25:AQ25"/>
    <mergeCell ref="AR25:BB25"/>
    <mergeCell ref="BC25:BE25"/>
    <mergeCell ref="BF25:BG25"/>
    <mergeCell ref="A44:B44"/>
    <mergeCell ref="BC44:BE44"/>
    <mergeCell ref="BF44:BG44"/>
    <mergeCell ref="C39:H39"/>
    <mergeCell ref="AG27:AQ27"/>
    <mergeCell ref="AR27:BB27"/>
    <mergeCell ref="BC27:BE27"/>
    <mergeCell ref="BF27:BG27"/>
    <mergeCell ref="C27:H27"/>
    <mergeCell ref="M27:P27"/>
    <mergeCell ref="R27:U27"/>
    <mergeCell ref="BH26:BI26"/>
    <mergeCell ref="BJ26:BK26"/>
    <mergeCell ref="BL26:BM26"/>
    <mergeCell ref="BN26:BQ26"/>
    <mergeCell ref="V26:X26"/>
    <mergeCell ref="Z26:AB26"/>
    <mergeCell ref="C51:H51"/>
    <mergeCell ref="M51:P51"/>
    <mergeCell ref="CC52:CM52"/>
    <mergeCell ref="R51:U51"/>
    <mergeCell ref="V51:X51"/>
    <mergeCell ref="Z51:AB51"/>
    <mergeCell ref="AG51:AQ51"/>
    <mergeCell ref="AR51:BB51"/>
    <mergeCell ref="BC51:BE51"/>
    <mergeCell ref="C49:H49"/>
    <mergeCell ref="M49:P49"/>
    <mergeCell ref="R49:U49"/>
    <mergeCell ref="V49:X49"/>
    <mergeCell ref="Z49:AB49"/>
    <mergeCell ref="AG49:AQ49"/>
    <mergeCell ref="AR49:BB49"/>
    <mergeCell ref="BC49:BE49"/>
    <mergeCell ref="BF49:BG49"/>
    <mergeCell ref="BH49:BI49"/>
    <mergeCell ref="BJ49:BK49"/>
    <mergeCell ref="BL49:BM49"/>
    <mergeCell ref="BN49:BQ49"/>
    <mergeCell ref="BR49:BU49"/>
    <mergeCell ref="BV49:BW49"/>
    <mergeCell ref="BX49:BY49"/>
    <mergeCell ref="M50:P50"/>
    <mergeCell ref="R50:U50"/>
    <mergeCell ref="BZ51:CB51"/>
    <mergeCell ref="CC51:CM51"/>
    <mergeCell ref="BN50:BQ50"/>
    <mergeCell ref="BR50:BU50"/>
    <mergeCell ref="BV50:BW50"/>
    <mergeCell ref="BX50:BY50"/>
    <mergeCell ref="BZ50:CB50"/>
    <mergeCell ref="AG52:AQ52"/>
    <mergeCell ref="AR52:BB52"/>
    <mergeCell ref="BC52:BE52"/>
    <mergeCell ref="BF52:BG52"/>
    <mergeCell ref="BH52:BI52"/>
    <mergeCell ref="BJ52:BK52"/>
    <mergeCell ref="BL52:BM52"/>
    <mergeCell ref="BN52:BQ52"/>
    <mergeCell ref="BR52:BU52"/>
    <mergeCell ref="BV52:BW52"/>
    <mergeCell ref="BX52:BY52"/>
    <mergeCell ref="BZ52:CB52"/>
    <mergeCell ref="CC50:CM50"/>
    <mergeCell ref="BH51:BI51"/>
    <mergeCell ref="BJ51:BK51"/>
    <mergeCell ref="BL51:BM51"/>
    <mergeCell ref="BN51:BQ51"/>
    <mergeCell ref="BR51:BU51"/>
    <mergeCell ref="BV51:BW51"/>
    <mergeCell ref="BX51:BY51"/>
    <mergeCell ref="BZ49:CB49"/>
    <mergeCell ref="CC49:CM49"/>
    <mergeCell ref="C52:H52"/>
    <mergeCell ref="M52:P52"/>
    <mergeCell ref="R52:U52"/>
    <mergeCell ref="V52:X52"/>
    <mergeCell ref="Z52:AB52"/>
    <mergeCell ref="BR40:BU40"/>
    <mergeCell ref="BV40:BW40"/>
    <mergeCell ref="BX40:BY40"/>
    <mergeCell ref="BZ40:CB40"/>
    <mergeCell ref="CC40:CM40"/>
    <mergeCell ref="BR41:BU41"/>
    <mergeCell ref="BV41:BW41"/>
    <mergeCell ref="BX41:BY41"/>
    <mergeCell ref="BZ41:CB41"/>
    <mergeCell ref="C44:H44"/>
    <mergeCell ref="CC41:CM41"/>
    <mergeCell ref="BZ42:CB42"/>
    <mergeCell ref="CC42:CM42"/>
    <mergeCell ref="C41:H41"/>
    <mergeCell ref="C43:H43"/>
    <mergeCell ref="R43:U43"/>
    <mergeCell ref="V43:X43"/>
    <mergeCell ref="C50:H50"/>
    <mergeCell ref="M41:P41"/>
    <mergeCell ref="R41:U41"/>
    <mergeCell ref="V41:X41"/>
    <mergeCell ref="Z41:AB41"/>
    <mergeCell ref="M43:P43"/>
    <mergeCell ref="Z43:AB43"/>
    <mergeCell ref="AG43:AQ43"/>
    <mergeCell ref="BC41:BE41"/>
    <mergeCell ref="BF41:BG41"/>
    <mergeCell ref="BV39:BW39"/>
    <mergeCell ref="BX39:BY39"/>
    <mergeCell ref="BZ39:CB39"/>
    <mergeCell ref="CC39:CM39"/>
    <mergeCell ref="A40:B40"/>
    <mergeCell ref="C40:H40"/>
    <mergeCell ref="M40:P40"/>
    <mergeCell ref="R40:U40"/>
    <mergeCell ref="V40:X40"/>
    <mergeCell ref="Z40:AB40"/>
    <mergeCell ref="AG40:AQ40"/>
    <mergeCell ref="AR40:BB40"/>
    <mergeCell ref="BC40:BE40"/>
    <mergeCell ref="BF40:BG40"/>
    <mergeCell ref="BH40:BI40"/>
    <mergeCell ref="BJ40:BK40"/>
    <mergeCell ref="BL40:BM40"/>
    <mergeCell ref="BN40:BQ40"/>
    <mergeCell ref="M39:P39"/>
    <mergeCell ref="R39:U39"/>
    <mergeCell ref="V39:X39"/>
    <mergeCell ref="Z39:AB39"/>
    <mergeCell ref="AR44:BB44"/>
    <mergeCell ref="AG39:AQ39"/>
    <mergeCell ref="AR39:BB39"/>
    <mergeCell ref="BC39:BE39"/>
    <mergeCell ref="BF39:BG39"/>
    <mergeCell ref="BH39:BI39"/>
    <mergeCell ref="BJ39:BK39"/>
    <mergeCell ref="BL39:BM39"/>
    <mergeCell ref="BN39:BQ39"/>
    <mergeCell ref="I39:L39"/>
    <mergeCell ref="A42:B42"/>
    <mergeCell ref="C42:H42"/>
    <mergeCell ref="M42:P42"/>
    <mergeCell ref="R42:U42"/>
    <mergeCell ref="V42:X42"/>
    <mergeCell ref="Z42:AB42"/>
    <mergeCell ref="AG42:AQ42"/>
    <mergeCell ref="AR42:BB42"/>
    <mergeCell ref="BC42:BE42"/>
    <mergeCell ref="BF42:BG42"/>
    <mergeCell ref="BH42:BI42"/>
    <mergeCell ref="BJ42:BK42"/>
    <mergeCell ref="BL42:BM42"/>
    <mergeCell ref="BN42:BQ42"/>
    <mergeCell ref="AR43:BB43"/>
    <mergeCell ref="BC43:BE43"/>
    <mergeCell ref="BF43:BG43"/>
    <mergeCell ref="BH43:BI43"/>
    <mergeCell ref="BJ43:BK43"/>
    <mergeCell ref="BL43:BM43"/>
    <mergeCell ref="AG41:AQ41"/>
    <mergeCell ref="AR41:BB41"/>
    <mergeCell ref="A46:B46"/>
    <mergeCell ref="C46:H46"/>
    <mergeCell ref="M46:P46"/>
    <mergeCell ref="R46:U46"/>
    <mergeCell ref="V46:X46"/>
    <mergeCell ref="Z46:AB46"/>
    <mergeCell ref="AG46:AQ46"/>
    <mergeCell ref="AR46:BB46"/>
    <mergeCell ref="BC46:BE46"/>
    <mergeCell ref="BF46:BG46"/>
    <mergeCell ref="BH46:BI46"/>
    <mergeCell ref="BJ46:BK46"/>
    <mergeCell ref="BL46:BM46"/>
    <mergeCell ref="BN46:BQ46"/>
    <mergeCell ref="BR46:BU46"/>
    <mergeCell ref="BV46:BW46"/>
    <mergeCell ref="BX46:BY46"/>
    <mergeCell ref="BN28:BQ28"/>
    <mergeCell ref="BR28:BU28"/>
    <mergeCell ref="BV47:BW47"/>
    <mergeCell ref="BX47:BY47"/>
    <mergeCell ref="BZ47:CB47"/>
    <mergeCell ref="BV28:BW28"/>
    <mergeCell ref="BX28:BY28"/>
    <mergeCell ref="BZ28:CB28"/>
    <mergeCell ref="BJ31:BK31"/>
    <mergeCell ref="BL31:BM31"/>
    <mergeCell ref="BN31:BQ31"/>
    <mergeCell ref="BR31:BU31"/>
    <mergeCell ref="BV31:BW31"/>
    <mergeCell ref="BX31:BY31"/>
    <mergeCell ref="BZ31:CB31"/>
    <mergeCell ref="BX30:BY30"/>
    <mergeCell ref="BZ30:CB30"/>
    <mergeCell ref="BJ47:BK47"/>
    <mergeCell ref="BL47:BM47"/>
    <mergeCell ref="BN47:BQ47"/>
    <mergeCell ref="BR47:BU47"/>
    <mergeCell ref="BJ44:BK44"/>
    <mergeCell ref="BL44:BM44"/>
    <mergeCell ref="BN44:BQ44"/>
    <mergeCell ref="BZ46:CB46"/>
    <mergeCell ref="BR44:BU44"/>
    <mergeCell ref="BV44:BW44"/>
    <mergeCell ref="BX44:BY44"/>
    <mergeCell ref="BZ44:CB44"/>
    <mergeCell ref="BR39:BU39"/>
    <mergeCell ref="BJ41:BK41"/>
    <mergeCell ref="BL41:BM41"/>
    <mergeCell ref="C47:H47"/>
    <mergeCell ref="M47:P47"/>
    <mergeCell ref="R47:U47"/>
    <mergeCell ref="V47:X47"/>
    <mergeCell ref="Z47:AB47"/>
    <mergeCell ref="AG47:AQ47"/>
    <mergeCell ref="AR47:BB47"/>
    <mergeCell ref="BC47:BE47"/>
    <mergeCell ref="BF47:BG47"/>
    <mergeCell ref="BH47:BI47"/>
    <mergeCell ref="BV45:BW45"/>
    <mergeCell ref="BX45:BY45"/>
    <mergeCell ref="BZ45:CB45"/>
    <mergeCell ref="BJ45:BK45"/>
    <mergeCell ref="BL45:BM45"/>
    <mergeCell ref="BN45:BQ45"/>
    <mergeCell ref="BR45:BU45"/>
    <mergeCell ref="BC45:BE45"/>
    <mergeCell ref="BF45:BG45"/>
    <mergeCell ref="BH45:BI45"/>
    <mergeCell ref="C45:H45"/>
    <mergeCell ref="M45:P45"/>
    <mergeCell ref="R45:U45"/>
    <mergeCell ref="V45:X45"/>
    <mergeCell ref="Z45:AB45"/>
    <mergeCell ref="AG45:AQ45"/>
    <mergeCell ref="AR45:BB45"/>
    <mergeCell ref="I47:L47"/>
    <mergeCell ref="CC28:CM28"/>
    <mergeCell ref="A29:B29"/>
    <mergeCell ref="C29:H29"/>
    <mergeCell ref="M29:P29"/>
    <mergeCell ref="R29:U29"/>
    <mergeCell ref="V29:X29"/>
    <mergeCell ref="Z29:AB29"/>
    <mergeCell ref="AG29:AQ29"/>
    <mergeCell ref="AR29:BB29"/>
    <mergeCell ref="BC29:BE29"/>
    <mergeCell ref="BF29:BG29"/>
    <mergeCell ref="BH29:BI29"/>
    <mergeCell ref="BJ29:BK29"/>
    <mergeCell ref="BL29:BM29"/>
    <mergeCell ref="BN29:BQ29"/>
    <mergeCell ref="BR29:BU29"/>
    <mergeCell ref="BV29:BW29"/>
    <mergeCell ref="BX29:BY29"/>
    <mergeCell ref="BZ29:CB29"/>
    <mergeCell ref="CC29:CM29"/>
    <mergeCell ref="C28:H28"/>
    <mergeCell ref="M28:P28"/>
    <mergeCell ref="R28:U28"/>
    <mergeCell ref="V28:X28"/>
    <mergeCell ref="Z28:AB28"/>
    <mergeCell ref="AG28:AQ28"/>
    <mergeCell ref="AR28:BB28"/>
    <mergeCell ref="BC28:BE28"/>
    <mergeCell ref="BF28:BG28"/>
    <mergeCell ref="BH28:BI28"/>
    <mergeCell ref="BJ28:BK28"/>
    <mergeCell ref="BL28:BM28"/>
    <mergeCell ref="BL30:BM30"/>
    <mergeCell ref="BN30:BQ30"/>
    <mergeCell ref="BR30:BU30"/>
    <mergeCell ref="CC33:CM33"/>
    <mergeCell ref="C32:H32"/>
    <mergeCell ref="M32:P32"/>
    <mergeCell ref="R32:U32"/>
    <mergeCell ref="V32:X32"/>
    <mergeCell ref="Z32:AB32"/>
    <mergeCell ref="AG32:AQ32"/>
    <mergeCell ref="AR32:BB32"/>
    <mergeCell ref="BC32:BE32"/>
    <mergeCell ref="BF32:BG32"/>
    <mergeCell ref="BH32:BI32"/>
    <mergeCell ref="BJ32:BK32"/>
    <mergeCell ref="BL32:BM32"/>
    <mergeCell ref="BN32:BQ32"/>
    <mergeCell ref="BV30:BW30"/>
    <mergeCell ref="CC30:CM30"/>
    <mergeCell ref="C31:H31"/>
    <mergeCell ref="CC31:CM31"/>
    <mergeCell ref="BR32:BU32"/>
    <mergeCell ref="BV32:BW32"/>
    <mergeCell ref="BX32:BY32"/>
    <mergeCell ref="BZ32:CB32"/>
    <mergeCell ref="CC32:CM32"/>
    <mergeCell ref="BJ30:BK30"/>
    <mergeCell ref="M30:P30"/>
    <mergeCell ref="R30:U30"/>
    <mergeCell ref="V30:X30"/>
    <mergeCell ref="Z30:AB30"/>
    <mergeCell ref="AG30:AQ30"/>
    <mergeCell ref="AR30:BB30"/>
    <mergeCell ref="BC30:BE30"/>
    <mergeCell ref="BF30:BG30"/>
    <mergeCell ref="BH30:BI30"/>
    <mergeCell ref="C30:H30"/>
    <mergeCell ref="M31:P31"/>
    <mergeCell ref="R31:U31"/>
    <mergeCell ref="V31:X31"/>
    <mergeCell ref="Z31:AB31"/>
    <mergeCell ref="AG31:AQ31"/>
    <mergeCell ref="AR31:BB31"/>
    <mergeCell ref="BC31:BE31"/>
    <mergeCell ref="BF31:BG31"/>
    <mergeCell ref="BH31:BI31"/>
    <mergeCell ref="V34:X34"/>
    <mergeCell ref="Z34:AB34"/>
    <mergeCell ref="AG34:AQ34"/>
    <mergeCell ref="AR34:BB34"/>
    <mergeCell ref="BC34:BE34"/>
    <mergeCell ref="BF34:BG34"/>
    <mergeCell ref="BH34:BI34"/>
    <mergeCell ref="A33:B33"/>
    <mergeCell ref="C33:H33"/>
    <mergeCell ref="M33:P33"/>
    <mergeCell ref="R33:U33"/>
    <mergeCell ref="V33:X33"/>
    <mergeCell ref="Z33:AB33"/>
    <mergeCell ref="AG33:AQ33"/>
    <mergeCell ref="AR33:BB33"/>
    <mergeCell ref="BC33:BE33"/>
    <mergeCell ref="BF33:BG33"/>
    <mergeCell ref="BH33:BI33"/>
    <mergeCell ref="BR34:BU34"/>
    <mergeCell ref="BV34:BW34"/>
    <mergeCell ref="BX34:BY34"/>
    <mergeCell ref="BZ34:CB34"/>
    <mergeCell ref="BJ33:BK33"/>
    <mergeCell ref="BL33:BM33"/>
    <mergeCell ref="BN33:BQ33"/>
    <mergeCell ref="BR33:BU33"/>
    <mergeCell ref="BV33:BW33"/>
    <mergeCell ref="BR35:BU35"/>
    <mergeCell ref="BV35:BW35"/>
    <mergeCell ref="BX35:BY35"/>
    <mergeCell ref="BZ35:CB35"/>
    <mergeCell ref="BX33:BY33"/>
    <mergeCell ref="BZ33:CB33"/>
    <mergeCell ref="BJ34:BK34"/>
    <mergeCell ref="C35:H35"/>
    <mergeCell ref="M35:P35"/>
    <mergeCell ref="R35:U35"/>
    <mergeCell ref="V35:X35"/>
    <mergeCell ref="Z35:AB35"/>
    <mergeCell ref="AG35:AQ35"/>
    <mergeCell ref="AR35:BB35"/>
    <mergeCell ref="BC35:BE35"/>
    <mergeCell ref="BF35:BG35"/>
    <mergeCell ref="BH35:BI35"/>
    <mergeCell ref="BJ35:BK35"/>
    <mergeCell ref="BL35:BM35"/>
    <mergeCell ref="BN35:BQ35"/>
    <mergeCell ref="C34:H34"/>
    <mergeCell ref="M34:P34"/>
    <mergeCell ref="R34:U34"/>
    <mergeCell ref="BL34:BM34"/>
    <mergeCell ref="BN34:BQ34"/>
    <mergeCell ref="BV37:BW37"/>
    <mergeCell ref="BX37:BY37"/>
    <mergeCell ref="CC36:CM36"/>
    <mergeCell ref="BF38:BG38"/>
    <mergeCell ref="BH38:BI38"/>
    <mergeCell ref="BJ38:BK38"/>
    <mergeCell ref="BL38:BM38"/>
    <mergeCell ref="BN38:BQ38"/>
    <mergeCell ref="C37:H37"/>
    <mergeCell ref="M37:P37"/>
    <mergeCell ref="R37:U37"/>
    <mergeCell ref="V37:X37"/>
    <mergeCell ref="Z37:AB37"/>
    <mergeCell ref="AG37:AQ37"/>
    <mergeCell ref="BV38:BW38"/>
    <mergeCell ref="BX38:BY38"/>
    <mergeCell ref="BZ38:CB38"/>
    <mergeCell ref="CC38:CM38"/>
    <mergeCell ref="CC37:CM37"/>
    <mergeCell ref="V36:X36"/>
    <mergeCell ref="Z36:AB36"/>
    <mergeCell ref="AG36:AQ36"/>
    <mergeCell ref="AR36:BB36"/>
    <mergeCell ref="BC36:BE36"/>
    <mergeCell ref="BF36:BG36"/>
    <mergeCell ref="BH36:BI36"/>
    <mergeCell ref="BJ36:BK36"/>
    <mergeCell ref="BL36:BM36"/>
    <mergeCell ref="BN36:BQ36"/>
    <mergeCell ref="CN86:CP86"/>
    <mergeCell ref="BP85:CG86"/>
    <mergeCell ref="CH85:CJ85"/>
    <mergeCell ref="CK85:CM85"/>
    <mergeCell ref="CN85:CP85"/>
    <mergeCell ref="I40:L40"/>
    <mergeCell ref="I41:L41"/>
    <mergeCell ref="I42:L42"/>
    <mergeCell ref="I43:L43"/>
    <mergeCell ref="I44:L44"/>
    <mergeCell ref="X73:AP73"/>
    <mergeCell ref="CC47:CM47"/>
    <mergeCell ref="BZ48:CB48"/>
    <mergeCell ref="CC48:CM48"/>
    <mergeCell ref="CC45:CM45"/>
    <mergeCell ref="CC46:CM46"/>
    <mergeCell ref="CC44:CM44"/>
    <mergeCell ref="CC43:CM43"/>
    <mergeCell ref="BH44:BI44"/>
    <mergeCell ref="BR42:BU42"/>
    <mergeCell ref="BV42:BW42"/>
    <mergeCell ref="BX42:BY42"/>
    <mergeCell ref="BN43:BQ43"/>
    <mergeCell ref="BR43:BU43"/>
    <mergeCell ref="BV43:BW43"/>
    <mergeCell ref="BX43:BY43"/>
    <mergeCell ref="BZ43:CB43"/>
    <mergeCell ref="M44:P44"/>
    <mergeCell ref="R44:U44"/>
    <mergeCell ref="V44:X44"/>
    <mergeCell ref="Z44:AB44"/>
    <mergeCell ref="AG44:AQ44"/>
    <mergeCell ref="BC90:BK90"/>
    <mergeCell ref="AV92:AY92"/>
    <mergeCell ref="AV91:AY91"/>
    <mergeCell ref="AZ91:BB91"/>
    <mergeCell ref="BM89:BO89"/>
    <mergeCell ref="CH90:CJ90"/>
    <mergeCell ref="BM86:BO86"/>
    <mergeCell ref="BC86:BK86"/>
    <mergeCell ref="I49:L49"/>
    <mergeCell ref="I50:L50"/>
    <mergeCell ref="I51:L51"/>
    <mergeCell ref="I52:L52"/>
    <mergeCell ref="I53:L53"/>
    <mergeCell ref="CC6:CM6"/>
    <mergeCell ref="A6:B6"/>
    <mergeCell ref="C6:H6"/>
    <mergeCell ref="M6:P6"/>
    <mergeCell ref="R6:U6"/>
    <mergeCell ref="V6:X6"/>
    <mergeCell ref="Z6:AB6"/>
    <mergeCell ref="BC6:BE6"/>
    <mergeCell ref="BF6:BG6"/>
    <mergeCell ref="BH6:BI6"/>
    <mergeCell ref="BJ6:BK6"/>
    <mergeCell ref="BL6:BM6"/>
    <mergeCell ref="BN6:BQ6"/>
    <mergeCell ref="CC35:CM35"/>
    <mergeCell ref="BR36:BU36"/>
    <mergeCell ref="BV36:BW36"/>
    <mergeCell ref="BX36:BY36"/>
    <mergeCell ref="BZ36:CB36"/>
    <mergeCell ref="BN37:BQ37"/>
    <mergeCell ref="I55:L55"/>
    <mergeCell ref="I56:L56"/>
    <mergeCell ref="V50:X50"/>
    <mergeCell ref="Z50:AB50"/>
    <mergeCell ref="AG50:AQ50"/>
    <mergeCell ref="AR50:BB50"/>
    <mergeCell ref="BC50:BE50"/>
    <mergeCell ref="BF50:BG50"/>
    <mergeCell ref="BH50:BI50"/>
    <mergeCell ref="BJ50:BK50"/>
    <mergeCell ref="BL50:BM50"/>
    <mergeCell ref="BF51:BG51"/>
    <mergeCell ref="BZ37:CB37"/>
    <mergeCell ref="C38:H38"/>
    <mergeCell ref="M38:P38"/>
    <mergeCell ref="R38:U38"/>
    <mergeCell ref="V38:X38"/>
    <mergeCell ref="Z38:AB38"/>
    <mergeCell ref="AG38:AQ38"/>
    <mergeCell ref="AR38:BB38"/>
    <mergeCell ref="BC38:BE38"/>
    <mergeCell ref="I48:L48"/>
    <mergeCell ref="I45:L45"/>
    <mergeCell ref="I46:L46"/>
    <mergeCell ref="BH41:BI41"/>
    <mergeCell ref="BN41:BQ41"/>
    <mergeCell ref="C48:H48"/>
    <mergeCell ref="M48:P48"/>
    <mergeCell ref="R48:U48"/>
    <mergeCell ref="V48:X48"/>
    <mergeCell ref="Z48:AB48"/>
    <mergeCell ref="BR37:BU37"/>
    <mergeCell ref="BC91:BK91"/>
    <mergeCell ref="BM91:BO91"/>
    <mergeCell ref="BP91:CG92"/>
    <mergeCell ref="BP90:CG90"/>
    <mergeCell ref="AT92:AU92"/>
    <mergeCell ref="BC92:BK92"/>
    <mergeCell ref="AZ90:BB90"/>
    <mergeCell ref="AT88:AU88"/>
    <mergeCell ref="AV88:AY88"/>
    <mergeCell ref="AZ88:BB88"/>
    <mergeCell ref="BC88:BK88"/>
    <mergeCell ref="AG48:AQ48"/>
    <mergeCell ref="AR48:BB48"/>
    <mergeCell ref="BC48:BE48"/>
    <mergeCell ref="BF48:BG48"/>
    <mergeCell ref="BH48:BI48"/>
    <mergeCell ref="BJ48:BK48"/>
    <mergeCell ref="BL48:BM48"/>
    <mergeCell ref="BN48:BQ48"/>
    <mergeCell ref="BR48:BU48"/>
    <mergeCell ref="BV48:BW48"/>
    <mergeCell ref="BX48:BY48"/>
    <mergeCell ref="A64:CM64"/>
    <mergeCell ref="BM85:BO85"/>
    <mergeCell ref="AZ86:BB86"/>
    <mergeCell ref="A48:B48"/>
    <mergeCell ref="CH86:CJ86"/>
    <mergeCell ref="BP87:CG89"/>
    <mergeCell ref="CH87:CJ87"/>
    <mergeCell ref="AT91:AU91"/>
    <mergeCell ref="CH91:CJ92"/>
    <mergeCell ref="AT87:AU87"/>
    <mergeCell ref="I19:L19"/>
    <mergeCell ref="I20:L20"/>
    <mergeCell ref="I21:L21"/>
    <mergeCell ref="I22:L22"/>
    <mergeCell ref="AC3:AC5"/>
    <mergeCell ref="AD3:AD5"/>
    <mergeCell ref="AE3:AE5"/>
    <mergeCell ref="V20:X20"/>
    <mergeCell ref="Z20:AB20"/>
    <mergeCell ref="CC34:CM34"/>
    <mergeCell ref="A36:B36"/>
    <mergeCell ref="C36:H36"/>
    <mergeCell ref="M36:P36"/>
    <mergeCell ref="R36:U36"/>
    <mergeCell ref="BR38:BU38"/>
    <mergeCell ref="AR37:BB37"/>
    <mergeCell ref="BC37:BE37"/>
    <mergeCell ref="BF37:BG37"/>
    <mergeCell ref="BH37:BI37"/>
    <mergeCell ref="BJ37:BK37"/>
    <mergeCell ref="BL37:BM37"/>
    <mergeCell ref="I28:L28"/>
    <mergeCell ref="I29:L29"/>
    <mergeCell ref="I30:L30"/>
    <mergeCell ref="I31:L31"/>
    <mergeCell ref="I32:L32"/>
    <mergeCell ref="I33:L33"/>
    <mergeCell ref="I34:L34"/>
    <mergeCell ref="I35:L35"/>
    <mergeCell ref="I36:L36"/>
    <mergeCell ref="I37:L37"/>
    <mergeCell ref="I38:L38"/>
  </mergeCells>
  <phoneticPr fontId="3" type="noConversion"/>
  <conditionalFormatting sqref="I7:L23 I28:L33 I35:L35 I38:L38 I41:L44">
    <cfRule type="cellIs" dxfId="8" priority="2" operator="equal">
      <formula>"1$Q$6:$T$11"</formula>
    </cfRule>
    <cfRule type="cellIs" dxfId="7" priority="3" operator="equal">
      <formula>15</formula>
    </cfRule>
  </conditionalFormatting>
  <conditionalFormatting sqref="U85:U92">
    <cfRule type="duplicateValues" dxfId="6" priority="6"/>
  </conditionalFormatting>
  <conditionalFormatting sqref="AF1:AF1048576">
    <cfRule type="duplicateValues" dxfId="5" priority="1"/>
  </conditionalFormatting>
  <conditionalFormatting sqref="AF7:AF63">
    <cfRule type="duplicateValues" dxfId="4" priority="7"/>
  </conditionalFormatting>
  <pageMargins left="0.196850393700787" right="0.196850393700787" top="0.196850393700787" bottom="0.196850393700787" header="7.8740157480315001E-2" footer="7.8740157480315001E-2"/>
  <pageSetup paperSize="8" scale="77" fitToHeight="0" orientation="landscape" r:id="rId4"/>
  <headerFooter alignWithMargins="0"/>
  <rowBreaks count="1" manualBreakCount="1">
    <brk id="43" max="89" man="1"/>
  </rowBreaks>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3A54-59A2-48EB-B4A2-9449C71D9ECE}">
  <sheetPr>
    <pageSetUpPr fitToPage="1"/>
  </sheetPr>
  <dimension ref="A1:X853"/>
  <sheetViews>
    <sheetView tabSelected="1" view="pageBreakPreview" topLeftCell="B689" zoomScale="85" zoomScaleNormal="70" zoomScaleSheetLayoutView="85" workbookViewId="0">
      <selection activeCell="B698" sqref="A698:XFD698"/>
    </sheetView>
  </sheetViews>
  <sheetFormatPr defaultColWidth="2.44140625" defaultRowHeight="12.75" customHeight="1"/>
  <cols>
    <col min="1" max="1" width="6" bestFit="1" customWidth="1"/>
    <col min="2" max="2" width="25.33203125" bestFit="1" customWidth="1"/>
    <col min="3" max="3" width="13.21875" customWidth="1"/>
    <col min="4" max="4" width="12.33203125" bestFit="1" customWidth="1"/>
    <col min="5" max="5" width="11.5546875" bestFit="1" customWidth="1"/>
    <col min="6" max="6" width="9.44140625" customWidth="1"/>
    <col min="7" max="7" width="9.88671875" bestFit="1" customWidth="1"/>
    <col min="8" max="8" width="7.33203125" bestFit="1" customWidth="1"/>
    <col min="9" max="9" width="10.6640625" bestFit="1" customWidth="1"/>
    <col min="10" max="10" width="15.21875" bestFit="1" customWidth="1"/>
    <col min="11" max="11" width="0.109375" customWidth="1"/>
    <col min="12" max="13" width="24" customWidth="1"/>
    <col min="14" max="16" width="9.5546875" customWidth="1"/>
    <col min="17" max="18" width="7.21875" customWidth="1"/>
    <col min="19" max="19" width="16" bestFit="1" customWidth="1"/>
    <col min="20" max="20" width="7.21875" bestFit="1" customWidth="1"/>
    <col min="21" max="22" width="6.6640625" customWidth="1"/>
    <col min="23" max="23" width="10.88671875" customWidth="1"/>
    <col min="24" max="24" width="10.109375" customWidth="1"/>
  </cols>
  <sheetData>
    <row r="1" spans="1:24" ht="12.75" customHeight="1">
      <c r="A1" s="327" t="s">
        <v>4</v>
      </c>
      <c r="B1" s="328"/>
      <c r="C1" s="328"/>
      <c r="D1" s="328"/>
      <c r="E1" s="328"/>
      <c r="F1" s="328"/>
      <c r="G1" s="328"/>
      <c r="H1" s="328"/>
      <c r="I1" s="328"/>
      <c r="J1" s="328"/>
      <c r="K1" s="328"/>
      <c r="L1" s="328"/>
      <c r="M1" s="328"/>
      <c r="N1" s="328"/>
      <c r="O1" s="328"/>
      <c r="P1" s="328"/>
      <c r="Q1" s="328"/>
      <c r="R1" s="328"/>
      <c r="S1" s="328"/>
      <c r="T1" s="328"/>
      <c r="U1" s="328"/>
      <c r="V1" s="328"/>
      <c r="W1" s="328"/>
      <c r="X1" s="328"/>
    </row>
    <row r="2" spans="1:24" ht="12.75" customHeight="1">
      <c r="A2" s="329"/>
      <c r="B2" s="330"/>
      <c r="C2" s="330"/>
      <c r="D2" s="330"/>
      <c r="E2" s="330"/>
      <c r="F2" s="330"/>
      <c r="G2" s="330"/>
      <c r="H2" s="330"/>
      <c r="I2" s="330"/>
      <c r="J2" s="330"/>
      <c r="K2" s="330"/>
      <c r="L2" s="330"/>
      <c r="M2" s="330"/>
      <c r="N2" s="330"/>
      <c r="O2" s="330"/>
      <c r="P2" s="330"/>
      <c r="Q2" s="330"/>
      <c r="R2" s="330"/>
      <c r="S2" s="330"/>
      <c r="T2" s="330"/>
      <c r="U2" s="330"/>
      <c r="V2" s="330"/>
      <c r="W2" s="330"/>
      <c r="X2" s="330"/>
    </row>
    <row r="3" spans="1:24" s="74" customFormat="1" ht="12.75" customHeight="1">
      <c r="A3" s="331" t="s">
        <v>90</v>
      </c>
      <c r="B3" s="331" t="s">
        <v>376</v>
      </c>
      <c r="C3" s="331" t="s">
        <v>94</v>
      </c>
      <c r="D3" s="331" t="s">
        <v>92</v>
      </c>
      <c r="E3" s="331" t="s">
        <v>93</v>
      </c>
      <c r="F3" s="331" t="s">
        <v>95</v>
      </c>
      <c r="G3" s="331" t="s">
        <v>96</v>
      </c>
      <c r="H3" s="331" t="s">
        <v>395</v>
      </c>
      <c r="I3" s="331" t="s">
        <v>396</v>
      </c>
      <c r="J3" s="331" t="s">
        <v>397</v>
      </c>
      <c r="K3" s="344"/>
      <c r="L3" s="347" t="s">
        <v>97</v>
      </c>
      <c r="M3" s="348"/>
      <c r="N3" s="331" t="s">
        <v>98</v>
      </c>
      <c r="O3" s="331" t="s">
        <v>206</v>
      </c>
      <c r="P3" s="334"/>
      <c r="Q3" s="331" t="s">
        <v>99</v>
      </c>
      <c r="R3" s="334"/>
      <c r="S3" s="336" t="s">
        <v>100</v>
      </c>
      <c r="T3" s="339" t="s">
        <v>101</v>
      </c>
      <c r="U3" s="336" t="s">
        <v>102</v>
      </c>
      <c r="V3" s="342"/>
      <c r="W3" s="336" t="s">
        <v>103</v>
      </c>
      <c r="X3" s="331" t="s">
        <v>104</v>
      </c>
    </row>
    <row r="4" spans="1:24" s="75" customFormat="1" ht="12.75" customHeight="1">
      <c r="A4" s="332"/>
      <c r="B4" s="332"/>
      <c r="C4" s="332"/>
      <c r="D4" s="332"/>
      <c r="E4" s="332"/>
      <c r="F4" s="332"/>
      <c r="G4" s="332"/>
      <c r="H4" s="332"/>
      <c r="I4" s="332"/>
      <c r="J4" s="332"/>
      <c r="K4" s="345"/>
      <c r="L4" s="349"/>
      <c r="M4" s="350"/>
      <c r="N4" s="332"/>
      <c r="O4" s="333"/>
      <c r="P4" s="335"/>
      <c r="Q4" s="333"/>
      <c r="R4" s="335"/>
      <c r="S4" s="337"/>
      <c r="T4" s="340"/>
      <c r="U4" s="338"/>
      <c r="V4" s="343"/>
      <c r="W4" s="337"/>
      <c r="X4" s="332"/>
    </row>
    <row r="5" spans="1:24" s="75" customFormat="1" ht="11.25" customHeight="1">
      <c r="A5" s="333"/>
      <c r="B5" s="333"/>
      <c r="C5" s="333"/>
      <c r="D5" s="333"/>
      <c r="E5" s="333"/>
      <c r="F5" s="333"/>
      <c r="G5" s="333"/>
      <c r="H5" s="333"/>
      <c r="I5" s="333"/>
      <c r="J5" s="333"/>
      <c r="K5" s="346"/>
      <c r="L5" s="351" t="s">
        <v>107</v>
      </c>
      <c r="M5" s="351" t="s">
        <v>108</v>
      </c>
      <c r="N5" s="333"/>
      <c r="O5" s="232" t="s">
        <v>109</v>
      </c>
      <c r="P5" s="232" t="s">
        <v>111</v>
      </c>
      <c r="Q5" s="232" t="s">
        <v>109</v>
      </c>
      <c r="R5" s="232" t="s">
        <v>111</v>
      </c>
      <c r="S5" s="338"/>
      <c r="T5" s="341"/>
      <c r="U5" s="233" t="s">
        <v>112</v>
      </c>
      <c r="V5" s="234" t="s">
        <v>113</v>
      </c>
      <c r="W5" s="338"/>
      <c r="X5" s="333"/>
    </row>
    <row r="6" spans="1:24" s="75" customFormat="1" ht="12.75" customHeight="1">
      <c r="A6" s="238"/>
      <c r="B6" s="238"/>
      <c r="C6" s="238"/>
      <c r="D6" s="238"/>
      <c r="E6" s="238"/>
      <c r="F6" s="238"/>
      <c r="G6" s="206"/>
      <c r="H6" s="206"/>
      <c r="I6" s="206"/>
      <c r="J6" s="206"/>
      <c r="K6" s="211"/>
      <c r="L6" s="352"/>
      <c r="M6" s="352"/>
      <c r="N6" s="237"/>
      <c r="O6" s="206"/>
      <c r="P6" s="206"/>
      <c r="Q6" s="206"/>
      <c r="R6" s="206"/>
      <c r="S6" s="235"/>
      <c r="T6" s="235"/>
      <c r="U6" s="236"/>
      <c r="V6" s="236"/>
      <c r="W6" s="234"/>
      <c r="X6" s="234"/>
    </row>
    <row r="7" spans="1:24" s="87" customFormat="1" ht="25.65" customHeight="1">
      <c r="A7" s="246"/>
      <c r="B7" s="221"/>
      <c r="C7" s="222"/>
      <c r="D7" s="247"/>
      <c r="E7" s="247"/>
      <c r="F7" s="222"/>
      <c r="G7" s="242"/>
      <c r="H7" s="209"/>
      <c r="I7" s="209"/>
      <c r="J7" s="209"/>
      <c r="K7" s="171"/>
      <c r="L7" s="243"/>
      <c r="M7" s="243"/>
      <c r="N7" s="244"/>
      <c r="O7" s="245"/>
      <c r="P7" s="231"/>
      <c r="Q7" s="228"/>
      <c r="R7" s="231"/>
      <c r="S7" s="240"/>
      <c r="T7" s="240"/>
      <c r="U7" s="241"/>
      <c r="V7" s="241"/>
      <c r="W7" s="239"/>
      <c r="X7" s="239"/>
    </row>
    <row r="8" spans="1:24" s="87" customFormat="1" ht="26.25" customHeight="1">
      <c r="A8" s="218"/>
      <c r="B8" s="221"/>
      <c r="C8" s="222"/>
      <c r="D8" s="249"/>
      <c r="E8" s="249"/>
      <c r="F8" s="222"/>
      <c r="G8" s="224"/>
      <c r="H8" s="209"/>
      <c r="I8" s="209"/>
      <c r="J8" s="209"/>
      <c r="K8" s="171"/>
      <c r="L8" s="225"/>
      <c r="M8" s="243"/>
      <c r="N8" s="244"/>
      <c r="O8" s="245"/>
      <c r="P8" s="231"/>
      <c r="Q8" s="228"/>
      <c r="R8" s="231"/>
      <c r="S8" s="229"/>
      <c r="T8" s="229"/>
      <c r="U8" s="217"/>
      <c r="V8" s="217"/>
      <c r="W8" s="248"/>
      <c r="X8" s="248"/>
    </row>
    <row r="9" spans="1:24" s="87" customFormat="1" ht="25.65" customHeight="1">
      <c r="A9" s="218"/>
      <c r="B9" s="221"/>
      <c r="C9" s="223"/>
      <c r="D9" s="249"/>
      <c r="E9" s="249"/>
      <c r="F9" s="222"/>
      <c r="G9" s="224"/>
      <c r="H9" s="209"/>
      <c r="I9" s="209"/>
      <c r="J9" s="209"/>
      <c r="K9" s="171"/>
      <c r="L9" s="225"/>
      <c r="M9" s="225"/>
      <c r="N9" s="244"/>
      <c r="O9" s="245"/>
      <c r="P9" s="231"/>
      <c r="Q9" s="228"/>
      <c r="R9" s="231"/>
      <c r="S9" s="229"/>
      <c r="T9" s="229"/>
      <c r="U9" s="217"/>
      <c r="V9" s="217"/>
      <c r="W9" s="248"/>
      <c r="X9" s="248"/>
    </row>
    <row r="10" spans="1:24" s="87" customFormat="1" ht="25.65" customHeight="1">
      <c r="A10" s="218"/>
      <c r="B10" s="221"/>
      <c r="C10" s="223"/>
      <c r="D10" s="249"/>
      <c r="E10" s="249"/>
      <c r="F10" s="222"/>
      <c r="G10" s="224"/>
      <c r="H10" s="209"/>
      <c r="I10" s="209"/>
      <c r="J10" s="209"/>
      <c r="K10" s="171"/>
      <c r="L10" s="225"/>
      <c r="M10" s="225"/>
      <c r="N10" s="244"/>
      <c r="O10" s="245"/>
      <c r="P10" s="231"/>
      <c r="Q10" s="228"/>
      <c r="R10" s="231"/>
      <c r="S10" s="229"/>
      <c r="T10" s="229"/>
      <c r="U10" s="217"/>
      <c r="V10" s="217"/>
      <c r="W10" s="248"/>
      <c r="X10" s="248"/>
    </row>
    <row r="11" spans="1:24" s="87" customFormat="1" ht="25.65" customHeight="1">
      <c r="A11" s="218"/>
      <c r="B11" s="221"/>
      <c r="C11" s="223"/>
      <c r="D11" s="249"/>
      <c r="E11" s="249"/>
      <c r="F11" s="222"/>
      <c r="G11" s="224"/>
      <c r="H11" s="209"/>
      <c r="I11" s="209"/>
      <c r="J11" s="209"/>
      <c r="K11" s="171"/>
      <c r="L11" s="225"/>
      <c r="M11" s="225"/>
      <c r="N11" s="230"/>
      <c r="O11" s="228"/>
      <c r="P11" s="231"/>
      <c r="Q11" s="228"/>
      <c r="R11" s="231"/>
      <c r="S11" s="229"/>
      <c r="T11" s="229"/>
      <c r="U11" s="217"/>
      <c r="V11" s="217"/>
      <c r="W11" s="248"/>
      <c r="X11" s="248"/>
    </row>
    <row r="12" spans="1:24" s="111" customFormat="1" ht="25.65" customHeight="1">
      <c r="A12" s="218"/>
      <c r="B12" s="221"/>
      <c r="C12" s="223"/>
      <c r="D12" s="249"/>
      <c r="E12" s="249"/>
      <c r="F12" s="222"/>
      <c r="G12" s="224"/>
      <c r="H12" s="209"/>
      <c r="I12" s="209"/>
      <c r="J12" s="209"/>
      <c r="K12" s="171"/>
      <c r="L12" s="225"/>
      <c r="M12" s="225"/>
      <c r="N12" s="230"/>
      <c r="O12" s="228"/>
      <c r="P12" s="231"/>
      <c r="Q12" s="228"/>
      <c r="R12" s="231"/>
      <c r="S12" s="229"/>
      <c r="T12" s="229"/>
      <c r="U12" s="217"/>
      <c r="V12" s="217"/>
      <c r="W12" s="248"/>
      <c r="X12" s="248"/>
    </row>
    <row r="13" spans="1:24" s="87" customFormat="1" ht="25.65" customHeight="1">
      <c r="A13" s="218"/>
      <c r="B13" s="221"/>
      <c r="C13" s="223"/>
      <c r="D13" s="249"/>
      <c r="E13" s="249"/>
      <c r="F13" s="222"/>
      <c r="G13" s="224"/>
      <c r="H13" s="209"/>
      <c r="I13" s="209"/>
      <c r="J13" s="209"/>
      <c r="K13" s="171"/>
      <c r="L13" s="226"/>
      <c r="M13" s="225"/>
      <c r="N13" s="244"/>
      <c r="O13" s="245"/>
      <c r="P13" s="231"/>
      <c r="Q13" s="228"/>
      <c r="R13" s="231"/>
      <c r="S13" s="229"/>
      <c r="T13" s="229"/>
      <c r="U13" s="217"/>
      <c r="V13" s="217"/>
      <c r="W13" s="248"/>
      <c r="X13" s="248"/>
    </row>
    <row r="14" spans="1:24" s="87" customFormat="1" ht="25.65" customHeight="1">
      <c r="A14" s="218"/>
      <c r="B14" s="221"/>
      <c r="C14" s="223"/>
      <c r="D14" s="249"/>
      <c r="E14" s="249"/>
      <c r="F14" s="222"/>
      <c r="G14" s="224"/>
      <c r="H14" s="209"/>
      <c r="I14" s="209"/>
      <c r="J14" s="209"/>
      <c r="K14" s="171"/>
      <c r="L14" s="225"/>
      <c r="M14" s="225"/>
      <c r="N14" s="244"/>
      <c r="O14" s="245"/>
      <c r="P14" s="231"/>
      <c r="Q14" s="228"/>
      <c r="R14" s="231"/>
      <c r="S14" s="229"/>
      <c r="T14" s="229"/>
      <c r="U14" s="217"/>
      <c r="V14" s="217"/>
      <c r="W14" s="248"/>
      <c r="X14" s="248"/>
    </row>
    <row r="15" spans="1:24" s="87" customFormat="1" ht="25.65" customHeight="1">
      <c r="A15" s="218"/>
      <c r="B15" s="221"/>
      <c r="C15" s="223"/>
      <c r="D15" s="223"/>
      <c r="E15" s="223"/>
      <c r="F15" s="222"/>
      <c r="G15" s="224"/>
      <c r="H15" s="209"/>
      <c r="I15" s="209"/>
      <c r="J15" s="209"/>
      <c r="K15" s="171"/>
      <c r="L15" s="225"/>
      <c r="M15" s="224"/>
      <c r="N15" s="230"/>
      <c r="O15" s="228"/>
      <c r="P15" s="231"/>
      <c r="Q15" s="228"/>
      <c r="R15" s="231"/>
      <c r="S15" s="229"/>
      <c r="T15" s="240"/>
      <c r="U15" s="241"/>
      <c r="V15" s="241"/>
      <c r="W15" s="248"/>
      <c r="X15" s="248"/>
    </row>
    <row r="16" spans="1:24" s="87" customFormat="1" ht="25.65" customHeight="1">
      <c r="A16" s="218"/>
      <c r="B16" s="221"/>
      <c r="C16" s="223"/>
      <c r="D16" s="223"/>
      <c r="E16" s="249"/>
      <c r="F16" s="222"/>
      <c r="G16" s="224"/>
      <c r="H16" s="209"/>
      <c r="I16" s="209"/>
      <c r="J16" s="209"/>
      <c r="K16" s="171"/>
      <c r="L16" s="225"/>
      <c r="M16" s="225"/>
      <c r="N16" s="230"/>
      <c r="O16" s="228"/>
      <c r="P16" s="231"/>
      <c r="Q16" s="228"/>
      <c r="R16" s="231"/>
      <c r="S16" s="229"/>
      <c r="T16" s="229"/>
      <c r="U16" s="217"/>
      <c r="V16" s="217"/>
      <c r="W16" s="248"/>
      <c r="X16" s="248"/>
    </row>
    <row r="17" spans="1:24" s="111" customFormat="1" ht="25.65" customHeight="1">
      <c r="A17" s="218"/>
      <c r="B17" s="221"/>
      <c r="C17" s="223"/>
      <c r="D17" s="223"/>
      <c r="E17" s="249"/>
      <c r="F17" s="222"/>
      <c r="G17" s="224"/>
      <c r="H17" s="209"/>
      <c r="I17" s="209"/>
      <c r="J17" s="209"/>
      <c r="K17" s="171"/>
      <c r="L17" s="225"/>
      <c r="M17" s="224"/>
      <c r="N17" s="230"/>
      <c r="O17" s="228"/>
      <c r="P17" s="231"/>
      <c r="Q17" s="228"/>
      <c r="R17" s="231"/>
      <c r="S17" s="229"/>
      <c r="T17" s="229"/>
      <c r="U17" s="217"/>
      <c r="V17" s="217"/>
      <c r="W17" s="248"/>
      <c r="X17" s="248"/>
    </row>
    <row r="18" spans="1:24" s="111" customFormat="1" ht="25.65" customHeight="1">
      <c r="A18" s="218"/>
      <c r="B18" s="221"/>
      <c r="C18" s="223"/>
      <c r="D18" s="223"/>
      <c r="E18" s="249"/>
      <c r="F18" s="222"/>
      <c r="G18" s="224"/>
      <c r="H18" s="209"/>
      <c r="I18" s="209"/>
      <c r="J18" s="209"/>
      <c r="K18" s="171"/>
      <c r="L18" s="225"/>
      <c r="M18" s="224"/>
      <c r="N18" s="230"/>
      <c r="O18" s="228"/>
      <c r="P18" s="231"/>
      <c r="Q18" s="228"/>
      <c r="R18" s="231"/>
      <c r="S18" s="229"/>
      <c r="T18" s="229"/>
      <c r="U18" s="217"/>
      <c r="V18" s="217"/>
      <c r="W18" s="248"/>
      <c r="X18" s="248"/>
    </row>
    <row r="19" spans="1:24" s="87" customFormat="1" ht="25.65" customHeight="1">
      <c r="A19" s="218"/>
      <c r="B19" s="221"/>
      <c r="C19" s="223"/>
      <c r="D19" s="223"/>
      <c r="E19" s="223"/>
      <c r="F19" s="222"/>
      <c r="G19" s="224"/>
      <c r="H19" s="209"/>
      <c r="I19" s="209"/>
      <c r="J19" s="209"/>
      <c r="K19" s="171"/>
      <c r="L19" s="225"/>
      <c r="M19" s="224"/>
      <c r="N19" s="230"/>
      <c r="O19" s="228"/>
      <c r="P19" s="231"/>
      <c r="Q19" s="228"/>
      <c r="R19" s="231"/>
      <c r="S19" s="229"/>
      <c r="T19" s="229"/>
      <c r="U19" s="217"/>
      <c r="V19" s="217"/>
      <c r="W19" s="248"/>
      <c r="X19" s="248"/>
    </row>
    <row r="20" spans="1:24" s="111" customFormat="1" ht="25.65" customHeight="1">
      <c r="A20" s="218"/>
      <c r="B20" s="221"/>
      <c r="C20" s="223"/>
      <c r="D20" s="223"/>
      <c r="E20" s="249"/>
      <c r="F20" s="222"/>
      <c r="G20" s="224"/>
      <c r="H20" s="209"/>
      <c r="I20" s="209"/>
      <c r="J20" s="209"/>
      <c r="K20" s="171"/>
      <c r="L20" s="225"/>
      <c r="M20" s="224"/>
      <c r="N20" s="230"/>
      <c r="O20" s="228"/>
      <c r="P20" s="231"/>
      <c r="Q20" s="228"/>
      <c r="R20" s="231"/>
      <c r="S20" s="229"/>
      <c r="T20" s="229"/>
      <c r="U20" s="217"/>
      <c r="V20" s="217"/>
      <c r="W20" s="248"/>
      <c r="X20" s="248"/>
    </row>
    <row r="21" spans="1:24" s="111" customFormat="1" ht="25.65" customHeight="1">
      <c r="A21" s="218"/>
      <c r="B21" s="221"/>
      <c r="C21" s="223"/>
      <c r="D21" s="223"/>
      <c r="E21" s="249"/>
      <c r="F21" s="222"/>
      <c r="G21" s="224"/>
      <c r="H21" s="209"/>
      <c r="I21" s="209"/>
      <c r="J21" s="209"/>
      <c r="K21" s="171"/>
      <c r="L21" s="225"/>
      <c r="M21" s="224"/>
      <c r="N21" s="230"/>
      <c r="O21" s="228"/>
      <c r="P21" s="231"/>
      <c r="Q21" s="228"/>
      <c r="R21" s="231"/>
      <c r="S21" s="229"/>
      <c r="T21" s="229"/>
      <c r="U21" s="217"/>
      <c r="V21" s="217"/>
      <c r="W21" s="248"/>
      <c r="X21" s="248"/>
    </row>
    <row r="22" spans="1:24" s="87" customFormat="1" ht="25.65" customHeight="1">
      <c r="A22" s="218"/>
      <c r="B22" s="221"/>
      <c r="C22" s="223"/>
      <c r="D22" s="223"/>
      <c r="E22" s="223"/>
      <c r="F22" s="222"/>
      <c r="G22" s="224"/>
      <c r="H22" s="209"/>
      <c r="I22" s="209"/>
      <c r="J22" s="209"/>
      <c r="K22" s="171"/>
      <c r="L22" s="225"/>
      <c r="M22" s="224"/>
      <c r="N22" s="230"/>
      <c r="O22" s="228"/>
      <c r="P22" s="231"/>
      <c r="Q22" s="228"/>
      <c r="R22" s="231"/>
      <c r="S22" s="229"/>
      <c r="T22" s="229"/>
      <c r="U22" s="217"/>
      <c r="V22" s="217"/>
      <c r="W22" s="248"/>
      <c r="X22" s="248"/>
    </row>
    <row r="23" spans="1:24" s="111" customFormat="1" ht="25.65" customHeight="1">
      <c r="A23" s="218"/>
      <c r="B23" s="221"/>
      <c r="C23" s="223"/>
      <c r="D23" s="223"/>
      <c r="E23" s="223"/>
      <c r="F23" s="223"/>
      <c r="G23" s="224"/>
      <c r="H23" s="209"/>
      <c r="I23" s="209"/>
      <c r="J23" s="209"/>
      <c r="K23" s="171"/>
      <c r="L23" s="225"/>
      <c r="M23" s="224"/>
      <c r="N23" s="250"/>
      <c r="O23" s="227"/>
      <c r="P23" s="228"/>
      <c r="Q23" s="227"/>
      <c r="R23" s="228"/>
      <c r="S23" s="229"/>
      <c r="T23" s="229"/>
      <c r="U23" s="217"/>
      <c r="V23" s="217"/>
      <c r="W23" s="248"/>
      <c r="X23" s="220"/>
    </row>
    <row r="24" spans="1:24" s="87" customFormat="1" ht="25.65" customHeight="1">
      <c r="A24" s="218"/>
      <c r="B24" s="221"/>
      <c r="C24" s="223"/>
      <c r="D24" s="223"/>
      <c r="E24" s="223"/>
      <c r="F24" s="223"/>
      <c r="G24" s="224"/>
      <c r="H24" s="209"/>
      <c r="I24" s="209"/>
      <c r="J24" s="209"/>
      <c r="K24" s="171"/>
      <c r="L24" s="225"/>
      <c r="M24" s="224"/>
      <c r="N24" s="250"/>
      <c r="O24" s="227"/>
      <c r="P24" s="228"/>
      <c r="Q24" s="227"/>
      <c r="R24" s="228"/>
      <c r="S24" s="229"/>
      <c r="T24" s="229"/>
      <c r="U24" s="217"/>
      <c r="V24" s="251"/>
      <c r="W24" s="248"/>
      <c r="X24" s="220"/>
    </row>
    <row r="25" spans="1:24" s="87" customFormat="1" ht="25.65" customHeight="1">
      <c r="A25" s="218"/>
      <c r="B25" s="221"/>
      <c r="C25" s="223"/>
      <c r="D25" s="223"/>
      <c r="E25" s="223"/>
      <c r="F25" s="223"/>
      <c r="G25" s="224"/>
      <c r="H25" s="209"/>
      <c r="I25" s="209"/>
      <c r="J25" s="209"/>
      <c r="K25" s="171"/>
      <c r="L25" s="225"/>
      <c r="M25" s="224"/>
      <c r="N25" s="250"/>
      <c r="O25" s="227"/>
      <c r="P25" s="228"/>
      <c r="Q25" s="227"/>
      <c r="R25" s="228"/>
      <c r="S25" s="229"/>
      <c r="T25" s="229"/>
      <c r="U25" s="217"/>
      <c r="V25" s="251"/>
      <c r="W25" s="248"/>
      <c r="X25" s="220"/>
    </row>
    <row r="26" spans="1:24" s="111" customFormat="1" ht="25.65" customHeight="1">
      <c r="A26" s="218"/>
      <c r="B26" s="221"/>
      <c r="C26" s="223"/>
      <c r="D26" s="223"/>
      <c r="E26" s="223"/>
      <c r="F26" s="223"/>
      <c r="G26" s="224"/>
      <c r="H26" s="209"/>
      <c r="I26" s="209"/>
      <c r="J26" s="209"/>
      <c r="K26" s="171"/>
      <c r="L26" s="224"/>
      <c r="M26" s="224"/>
      <c r="N26" s="250"/>
      <c r="O26" s="227"/>
      <c r="P26" s="228"/>
      <c r="Q26" s="227"/>
      <c r="R26" s="228"/>
      <c r="S26" s="229"/>
      <c r="T26" s="229"/>
      <c r="U26" s="217"/>
      <c r="V26" s="251"/>
      <c r="W26" s="248"/>
      <c r="X26" s="220"/>
    </row>
    <row r="27" spans="1:24" s="87" customFormat="1" ht="25.65" customHeight="1">
      <c r="A27" s="218"/>
      <c r="B27" s="221"/>
      <c r="C27" s="223"/>
      <c r="D27" s="223"/>
      <c r="E27" s="223"/>
      <c r="F27" s="223"/>
      <c r="G27" s="224"/>
      <c r="H27" s="209"/>
      <c r="I27" s="209"/>
      <c r="J27" s="209"/>
      <c r="K27" s="171"/>
      <c r="L27" s="224"/>
      <c r="M27" s="224"/>
      <c r="N27" s="250"/>
      <c r="O27" s="227"/>
      <c r="P27" s="228"/>
      <c r="Q27" s="227"/>
      <c r="R27" s="228"/>
      <c r="S27" s="229"/>
      <c r="T27" s="229"/>
      <c r="U27" s="217"/>
      <c r="V27" s="251"/>
      <c r="W27" s="248"/>
      <c r="X27" s="220"/>
    </row>
    <row r="28" spans="1:24" s="87" customFormat="1" ht="25.65" customHeight="1">
      <c r="A28" s="218"/>
      <c r="B28" s="221"/>
      <c r="C28" s="223"/>
      <c r="D28" s="223"/>
      <c r="E28" s="223"/>
      <c r="F28" s="223"/>
      <c r="G28" s="224"/>
      <c r="H28" s="209"/>
      <c r="I28" s="209"/>
      <c r="J28" s="209"/>
      <c r="K28" s="171"/>
      <c r="L28" s="224"/>
      <c r="M28" s="224"/>
      <c r="N28" s="250"/>
      <c r="O28" s="227"/>
      <c r="P28" s="228"/>
      <c r="Q28" s="227"/>
      <c r="R28" s="228"/>
      <c r="S28" s="229"/>
      <c r="T28" s="229"/>
      <c r="U28" s="217"/>
      <c r="V28" s="251"/>
      <c r="W28" s="218"/>
      <c r="X28" s="220"/>
    </row>
    <row r="29" spans="1:24" s="75" customFormat="1" ht="25.65" customHeight="1">
      <c r="A29" s="218"/>
      <c r="B29" s="221"/>
      <c r="C29" s="223"/>
      <c r="D29" s="223"/>
      <c r="E29" s="223"/>
      <c r="F29" s="223"/>
      <c r="G29" s="224"/>
      <c r="H29" s="209"/>
      <c r="I29" s="209"/>
      <c r="J29" s="209"/>
      <c r="K29" s="171"/>
      <c r="L29" s="252"/>
      <c r="M29" s="224"/>
      <c r="N29" s="250"/>
      <c r="O29" s="227"/>
      <c r="P29" s="228"/>
      <c r="Q29" s="227"/>
      <c r="R29" s="228"/>
      <c r="S29" s="229"/>
      <c r="T29" s="229"/>
      <c r="U29" s="217"/>
      <c r="V29" s="251"/>
      <c r="W29" s="218"/>
      <c r="X29" s="220"/>
    </row>
    <row r="30" spans="1:24" s="75" customFormat="1" ht="25.65" customHeight="1">
      <c r="A30" s="218"/>
      <c r="B30" s="221"/>
      <c r="C30" s="223"/>
      <c r="D30" s="223"/>
      <c r="E30" s="223"/>
      <c r="F30" s="222"/>
      <c r="G30" s="224"/>
      <c r="H30" s="209"/>
      <c r="I30" s="209"/>
      <c r="J30" s="209"/>
      <c r="K30" s="171"/>
      <c r="L30" s="224"/>
      <c r="M30" s="225"/>
      <c r="N30" s="244"/>
      <c r="O30" s="245"/>
      <c r="P30" s="231"/>
      <c r="Q30" s="228"/>
      <c r="R30" s="231"/>
      <c r="S30" s="229"/>
      <c r="T30" s="229"/>
      <c r="U30" s="217"/>
      <c r="V30" s="217"/>
      <c r="W30" s="218"/>
      <c r="X30" s="220"/>
    </row>
    <row r="31" spans="1:24" s="75" customFormat="1" ht="25.65" customHeight="1">
      <c r="A31" s="218"/>
      <c r="B31" s="221"/>
      <c r="C31" s="223"/>
      <c r="D31" s="223"/>
      <c r="E31" s="223"/>
      <c r="F31" s="222"/>
      <c r="G31" s="224"/>
      <c r="H31" s="209"/>
      <c r="I31" s="209"/>
      <c r="J31" s="209"/>
      <c r="K31" s="171"/>
      <c r="L31" s="218"/>
      <c r="M31" s="225"/>
      <c r="N31" s="244"/>
      <c r="O31" s="245"/>
      <c r="P31" s="231"/>
      <c r="Q31" s="228"/>
      <c r="R31" s="231"/>
      <c r="S31" s="229"/>
      <c r="T31" s="229"/>
      <c r="U31" s="217"/>
      <c r="V31" s="217"/>
      <c r="W31" s="218"/>
      <c r="X31" s="220"/>
    </row>
    <row r="32" spans="1:24" s="75" customFormat="1" ht="25.65" customHeight="1">
      <c r="A32" s="218"/>
      <c r="B32" s="221"/>
      <c r="C32" s="223"/>
      <c r="D32" s="223"/>
      <c r="E32" s="223"/>
      <c r="F32" s="222"/>
      <c r="G32" s="224"/>
      <c r="H32" s="209"/>
      <c r="I32" s="209"/>
      <c r="J32" s="209"/>
      <c r="K32" s="171"/>
      <c r="L32" s="224"/>
      <c r="M32" s="225"/>
      <c r="N32" s="230"/>
      <c r="O32" s="228"/>
      <c r="P32" s="231"/>
      <c r="Q32" s="228"/>
      <c r="R32" s="231"/>
      <c r="S32" s="229"/>
      <c r="T32" s="229"/>
      <c r="U32" s="217"/>
      <c r="V32" s="217"/>
      <c r="W32" s="218"/>
      <c r="X32" s="220"/>
    </row>
    <row r="33" spans="1:24" s="75" customFormat="1" ht="25.65" customHeight="1">
      <c r="A33" s="218"/>
      <c r="B33" s="221"/>
      <c r="C33" s="223"/>
      <c r="D33" s="223"/>
      <c r="E33" s="223"/>
      <c r="F33" s="222"/>
      <c r="G33" s="224"/>
      <c r="H33" s="209"/>
      <c r="I33" s="209"/>
      <c r="J33" s="209"/>
      <c r="K33" s="171"/>
      <c r="L33" s="225"/>
      <c r="M33" s="225"/>
      <c r="N33" s="230"/>
      <c r="O33" s="228"/>
      <c r="P33" s="231"/>
      <c r="Q33" s="228"/>
      <c r="R33" s="231"/>
      <c r="S33" s="229"/>
      <c r="T33" s="229"/>
      <c r="U33" s="217"/>
      <c r="V33" s="217"/>
      <c r="W33" s="218"/>
      <c r="X33" s="220"/>
    </row>
    <row r="34" spans="1:24" s="75" customFormat="1" ht="25.65" customHeight="1">
      <c r="A34" s="218"/>
      <c r="B34" s="221"/>
      <c r="C34" s="223"/>
      <c r="D34" s="223"/>
      <c r="E34" s="223"/>
      <c r="F34" s="222"/>
      <c r="G34" s="224"/>
      <c r="H34" s="209"/>
      <c r="I34" s="209"/>
      <c r="J34" s="209"/>
      <c r="K34" s="171"/>
      <c r="L34" s="253"/>
      <c r="M34" s="225"/>
      <c r="N34" s="230"/>
      <c r="O34" s="228"/>
      <c r="P34" s="231"/>
      <c r="Q34" s="228"/>
      <c r="R34" s="231"/>
      <c r="S34" s="229"/>
      <c r="T34" s="229"/>
      <c r="U34" s="217"/>
      <c r="V34" s="217"/>
      <c r="W34" s="218"/>
      <c r="X34" s="220"/>
    </row>
    <row r="35" spans="1:24" s="75" customFormat="1" ht="25.65" customHeight="1">
      <c r="A35" s="218"/>
      <c r="B35" s="221"/>
      <c r="C35" s="223"/>
      <c r="D35" s="223"/>
      <c r="E35" s="223"/>
      <c r="F35" s="223"/>
      <c r="G35" s="224"/>
      <c r="H35" s="209"/>
      <c r="I35" s="209"/>
      <c r="J35" s="209"/>
      <c r="K35" s="171"/>
      <c r="L35" s="253"/>
      <c r="M35" s="253"/>
      <c r="N35" s="218"/>
      <c r="O35" s="227"/>
      <c r="P35" s="228"/>
      <c r="Q35" s="227"/>
      <c r="R35" s="228"/>
      <c r="S35" s="229"/>
      <c r="T35" s="229"/>
      <c r="U35" s="217"/>
      <c r="V35" s="217"/>
      <c r="W35" s="218"/>
      <c r="X35" s="220"/>
    </row>
    <row r="36" spans="1:24" s="75" customFormat="1" ht="25.65" customHeight="1">
      <c r="A36" s="218"/>
      <c r="B36" s="221"/>
      <c r="C36" s="223"/>
      <c r="D36" s="223"/>
      <c r="E36" s="223"/>
      <c r="F36" s="222"/>
      <c r="G36" s="224"/>
      <c r="H36" s="209"/>
      <c r="I36" s="209"/>
      <c r="J36" s="209"/>
      <c r="K36" s="171"/>
      <c r="L36" s="225"/>
      <c r="M36" s="253"/>
      <c r="N36" s="230"/>
      <c r="O36" s="228"/>
      <c r="P36" s="231"/>
      <c r="Q36" s="228"/>
      <c r="R36" s="231"/>
      <c r="S36" s="229"/>
      <c r="T36" s="229"/>
      <c r="U36" s="217"/>
      <c r="V36" s="217"/>
      <c r="W36" s="218"/>
      <c r="X36" s="220"/>
    </row>
    <row r="37" spans="1:24" s="213" customFormat="1" ht="25.65" customHeight="1">
      <c r="A37" s="218"/>
      <c r="B37" s="221"/>
      <c r="C37" s="223"/>
      <c r="D37" s="223"/>
      <c r="E37" s="223"/>
      <c r="F37" s="222"/>
      <c r="G37" s="224"/>
      <c r="H37" s="209"/>
      <c r="I37" s="209"/>
      <c r="J37" s="209"/>
      <c r="K37" s="171"/>
      <c r="L37" s="225"/>
      <c r="M37" s="225"/>
      <c r="N37" s="255"/>
      <c r="O37" s="227"/>
      <c r="P37" s="254"/>
      <c r="Q37" s="227"/>
      <c r="R37" s="254"/>
      <c r="S37" s="229"/>
      <c r="T37" s="229"/>
      <c r="U37" s="217"/>
      <c r="V37" s="217"/>
      <c r="W37" s="218"/>
      <c r="X37" s="220"/>
    </row>
    <row r="38" spans="1:24" s="75" customFormat="1" ht="25.65" customHeight="1">
      <c r="A38" s="218"/>
      <c r="B38" s="221"/>
      <c r="C38" s="223"/>
      <c r="D38" s="223"/>
      <c r="E38" s="223"/>
      <c r="F38" s="222"/>
      <c r="G38" s="224"/>
      <c r="H38" s="209"/>
      <c r="I38" s="209"/>
      <c r="J38" s="209"/>
      <c r="K38" s="171"/>
      <c r="L38" s="253"/>
      <c r="M38" s="253"/>
      <c r="N38" s="230"/>
      <c r="O38" s="228"/>
      <c r="P38" s="231"/>
      <c r="Q38" s="228"/>
      <c r="R38" s="231"/>
      <c r="S38" s="229"/>
      <c r="T38" s="229"/>
      <c r="U38" s="217"/>
      <c r="V38" s="217"/>
      <c r="W38" s="218"/>
      <c r="X38" s="220"/>
    </row>
    <row r="39" spans="1:24" s="75" customFormat="1" ht="25.65" customHeight="1">
      <c r="A39" s="258"/>
      <c r="B39" s="221"/>
      <c r="C39" s="223"/>
      <c r="D39" s="260"/>
      <c r="E39" s="260"/>
      <c r="F39" s="222"/>
      <c r="G39" s="261"/>
      <c r="H39" s="209"/>
      <c r="I39" s="209"/>
      <c r="J39" s="209"/>
      <c r="K39" s="171"/>
      <c r="L39" s="253"/>
      <c r="M39" s="262"/>
      <c r="N39" s="230"/>
      <c r="O39" s="228"/>
      <c r="P39" s="231"/>
      <c r="Q39" s="228"/>
      <c r="R39" s="231"/>
      <c r="S39" s="256"/>
      <c r="T39" s="256"/>
      <c r="U39" s="257"/>
      <c r="V39" s="257"/>
      <c r="W39" s="258"/>
      <c r="X39" s="259"/>
    </row>
    <row r="40" spans="1:24" s="213" customFormat="1" ht="25.65" customHeight="1">
      <c r="A40" s="218"/>
      <c r="B40" s="221"/>
      <c r="C40" s="223"/>
      <c r="D40" s="223"/>
      <c r="E40" s="223"/>
      <c r="F40" s="222"/>
      <c r="G40" s="224"/>
      <c r="H40" s="209"/>
      <c r="I40" s="209"/>
      <c r="J40" s="209"/>
      <c r="K40" s="171"/>
      <c r="L40" s="225"/>
      <c r="M40" s="225"/>
      <c r="N40" s="255"/>
      <c r="O40" s="227"/>
      <c r="P40" s="254"/>
      <c r="Q40" s="227"/>
      <c r="R40" s="254"/>
      <c r="S40" s="229"/>
      <c r="T40" s="229"/>
      <c r="U40" s="217"/>
      <c r="V40" s="217"/>
      <c r="W40" s="218"/>
      <c r="X40" s="220"/>
    </row>
    <row r="41" spans="1:24" s="75" customFormat="1" ht="25.65" customHeight="1">
      <c r="A41" s="209"/>
      <c r="B41" s="269"/>
      <c r="C41" s="270"/>
      <c r="D41" s="270"/>
      <c r="E41" s="270"/>
      <c r="F41" s="270"/>
      <c r="G41" s="209"/>
      <c r="H41" s="209"/>
      <c r="I41" s="209"/>
      <c r="J41" s="209"/>
      <c r="K41" s="271"/>
      <c r="L41" s="272"/>
      <c r="M41" s="272"/>
      <c r="N41" s="273"/>
      <c r="O41" s="274"/>
      <c r="P41" s="274"/>
      <c r="Q41" s="274"/>
      <c r="R41" s="274"/>
      <c r="S41" s="275"/>
      <c r="T41" s="275"/>
      <c r="U41" s="276"/>
      <c r="V41" s="276"/>
      <c r="W41" s="209"/>
      <c r="X41" s="277"/>
    </row>
    <row r="42" spans="1:24" s="75" customFormat="1" ht="25.65" customHeight="1">
      <c r="A42" s="209"/>
      <c r="B42" s="269"/>
      <c r="C42" s="270"/>
      <c r="D42" s="270"/>
      <c r="E42" s="270"/>
      <c r="F42" s="270"/>
      <c r="G42" s="209"/>
      <c r="H42" s="209"/>
      <c r="I42" s="209"/>
      <c r="J42" s="209"/>
      <c r="K42" s="271"/>
      <c r="L42" s="272"/>
      <c r="M42" s="272"/>
      <c r="N42" s="209"/>
      <c r="O42" s="274"/>
      <c r="P42" s="274"/>
      <c r="Q42" s="274"/>
      <c r="R42" s="274"/>
      <c r="S42" s="275"/>
      <c r="T42" s="275"/>
      <c r="U42" s="276"/>
      <c r="V42" s="276"/>
      <c r="W42" s="209"/>
      <c r="X42" s="277"/>
    </row>
    <row r="43" spans="1:24" s="213" customFormat="1" ht="25.65" customHeight="1">
      <c r="A43" s="209"/>
      <c r="B43" s="269"/>
      <c r="C43" s="270"/>
      <c r="D43" s="270"/>
      <c r="E43" s="270"/>
      <c r="F43" s="270"/>
      <c r="G43" s="209"/>
      <c r="H43" s="209"/>
      <c r="I43" s="209"/>
      <c r="J43" s="209"/>
      <c r="K43" s="271"/>
      <c r="L43" s="272"/>
      <c r="M43" s="278"/>
      <c r="N43" s="209"/>
      <c r="O43" s="274"/>
      <c r="P43" s="274"/>
      <c r="Q43" s="274"/>
      <c r="R43" s="274"/>
      <c r="S43" s="275"/>
      <c r="T43" s="275"/>
      <c r="U43" s="276"/>
      <c r="V43" s="276"/>
      <c r="W43" s="209"/>
      <c r="X43" s="277"/>
    </row>
    <row r="44" spans="1:24" s="216" customFormat="1" ht="25.65" customHeight="1">
      <c r="A44" s="212"/>
      <c r="B44" s="279"/>
      <c r="C44" s="280"/>
      <c r="D44" s="280"/>
      <c r="E44" s="280"/>
      <c r="F44" s="280"/>
      <c r="G44" s="212"/>
      <c r="H44" s="209"/>
      <c r="I44" s="209"/>
      <c r="J44" s="209"/>
      <c r="K44" s="281"/>
      <c r="L44" s="278"/>
      <c r="M44" s="278"/>
      <c r="N44" s="282"/>
      <c r="O44" s="283"/>
      <c r="P44" s="283"/>
      <c r="Q44" s="283"/>
      <c r="R44" s="283"/>
      <c r="S44" s="284"/>
      <c r="T44" s="284"/>
      <c r="U44" s="285"/>
      <c r="V44" s="285"/>
      <c r="W44" s="212"/>
      <c r="X44" s="286"/>
    </row>
    <row r="45" spans="1:24" s="216" customFormat="1" ht="25.65" customHeight="1">
      <c r="A45" s="212"/>
      <c r="B45" s="269"/>
      <c r="C45" s="280"/>
      <c r="D45" s="280"/>
      <c r="E45" s="280"/>
      <c r="F45" s="280"/>
      <c r="G45" s="212"/>
      <c r="H45" s="212"/>
      <c r="I45" s="212"/>
      <c r="J45" s="212"/>
      <c r="K45" s="281"/>
      <c r="L45" s="278"/>
      <c r="M45" s="272"/>
      <c r="N45" s="282"/>
      <c r="O45" s="283"/>
      <c r="P45" s="283"/>
      <c r="Q45" s="283"/>
      <c r="R45" s="283"/>
      <c r="S45" s="284"/>
      <c r="T45" s="275"/>
      <c r="U45" s="276"/>
      <c r="V45" s="276"/>
      <c r="W45" s="212"/>
      <c r="X45" s="286"/>
    </row>
    <row r="46" spans="1:24" s="75" customFormat="1" ht="25.65" customHeight="1">
      <c r="A46" s="209"/>
      <c r="B46" s="269"/>
      <c r="C46" s="270"/>
      <c r="D46" s="270"/>
      <c r="E46" s="270"/>
      <c r="F46" s="270"/>
      <c r="G46" s="209"/>
      <c r="H46" s="209"/>
      <c r="I46" s="209"/>
      <c r="J46" s="209"/>
      <c r="K46" s="271"/>
      <c r="L46" s="272"/>
      <c r="M46" s="272"/>
      <c r="N46" s="209"/>
      <c r="O46" s="274"/>
      <c r="P46" s="274"/>
      <c r="Q46" s="274"/>
      <c r="R46" s="274"/>
      <c r="S46" s="275"/>
      <c r="T46" s="275"/>
      <c r="U46" s="276"/>
      <c r="V46" s="276"/>
      <c r="W46" s="209"/>
      <c r="X46" s="277"/>
    </row>
    <row r="47" spans="1:24" s="75" customFormat="1" ht="25.65" customHeight="1">
      <c r="A47" s="209"/>
      <c r="B47" s="269"/>
      <c r="C47" s="270"/>
      <c r="D47" s="270"/>
      <c r="E47" s="270"/>
      <c r="F47" s="270"/>
      <c r="G47" s="209"/>
      <c r="H47" s="209"/>
      <c r="I47" s="209"/>
      <c r="J47" s="209"/>
      <c r="K47" s="271"/>
      <c r="L47" s="272"/>
      <c r="M47" s="272"/>
      <c r="N47" s="209"/>
      <c r="O47" s="274"/>
      <c r="P47" s="274"/>
      <c r="Q47" s="274"/>
      <c r="R47" s="274"/>
      <c r="S47" s="275"/>
      <c r="T47" s="275"/>
      <c r="U47" s="276"/>
      <c r="V47" s="276"/>
      <c r="W47" s="209"/>
      <c r="X47" s="277"/>
    </row>
    <row r="48" spans="1:24" s="75" customFormat="1" ht="25.65" customHeight="1">
      <c r="A48" s="209"/>
      <c r="B48" s="269"/>
      <c r="C48" s="270"/>
      <c r="D48" s="270"/>
      <c r="E48" s="270"/>
      <c r="F48" s="270"/>
      <c r="G48" s="209"/>
      <c r="H48" s="209"/>
      <c r="I48" s="209"/>
      <c r="J48" s="209"/>
      <c r="K48" s="271"/>
      <c r="L48" s="278"/>
      <c r="M48" s="272"/>
      <c r="N48" s="209"/>
      <c r="O48" s="274"/>
      <c r="P48" s="274"/>
      <c r="Q48" s="274"/>
      <c r="R48" s="274"/>
      <c r="S48" s="275"/>
      <c r="T48" s="275"/>
      <c r="U48" s="276"/>
      <c r="V48" s="276"/>
      <c r="W48" s="209"/>
      <c r="X48" s="277"/>
    </row>
    <row r="49" spans="1:24" s="75" customFormat="1" ht="25.65" customHeight="1">
      <c r="A49" s="209"/>
      <c r="B49" s="269"/>
      <c r="C49" s="270"/>
      <c r="D49" s="270"/>
      <c r="E49" s="270"/>
      <c r="F49" s="270"/>
      <c r="G49" s="209"/>
      <c r="H49" s="209"/>
      <c r="I49" s="209"/>
      <c r="J49" s="209"/>
      <c r="K49" s="271"/>
      <c r="L49" s="272"/>
      <c r="M49" s="272"/>
      <c r="N49" s="273"/>
      <c r="O49" s="274"/>
      <c r="P49" s="274"/>
      <c r="Q49" s="274"/>
      <c r="R49" s="274"/>
      <c r="S49" s="275"/>
      <c r="T49" s="275"/>
      <c r="U49" s="276"/>
      <c r="V49" s="276"/>
      <c r="W49" s="209"/>
      <c r="X49" s="277"/>
    </row>
    <row r="50" spans="1:24" s="75" customFormat="1" ht="25.65" customHeight="1">
      <c r="A50" s="209"/>
      <c r="B50" s="269"/>
      <c r="C50" s="270"/>
      <c r="D50" s="270"/>
      <c r="E50" s="270"/>
      <c r="F50" s="270"/>
      <c r="G50" s="209"/>
      <c r="H50" s="209"/>
      <c r="I50" s="209"/>
      <c r="J50" s="209"/>
      <c r="K50" s="271"/>
      <c r="L50" s="272"/>
      <c r="M50" s="272"/>
      <c r="N50" s="273"/>
      <c r="O50" s="274"/>
      <c r="P50" s="274"/>
      <c r="Q50" s="274"/>
      <c r="R50" s="274"/>
      <c r="S50" s="275"/>
      <c r="T50" s="275"/>
      <c r="U50" s="276"/>
      <c r="V50" s="276"/>
      <c r="W50" s="209"/>
      <c r="X50" s="277"/>
    </row>
    <row r="51" spans="1:24" s="75" customFormat="1" ht="25.65" customHeight="1">
      <c r="A51" s="209"/>
      <c r="B51" s="269"/>
      <c r="C51" s="270"/>
      <c r="D51" s="270"/>
      <c r="E51" s="270"/>
      <c r="F51" s="270"/>
      <c r="G51" s="209"/>
      <c r="H51" s="209"/>
      <c r="I51" s="209"/>
      <c r="J51" s="209"/>
      <c r="K51" s="271"/>
      <c r="L51" s="272"/>
      <c r="M51" s="272"/>
      <c r="N51" s="287"/>
      <c r="O51" s="274"/>
      <c r="P51" s="274"/>
      <c r="Q51" s="274"/>
      <c r="R51" s="274"/>
      <c r="S51" s="275"/>
      <c r="T51" s="275"/>
      <c r="U51" s="276"/>
      <c r="V51" s="276"/>
      <c r="W51" s="209"/>
      <c r="X51" s="277"/>
    </row>
    <row r="52" spans="1:24" s="75" customFormat="1" ht="25.65" customHeight="1">
      <c r="A52" s="209"/>
      <c r="B52" s="269"/>
      <c r="C52" s="270"/>
      <c r="D52" s="270"/>
      <c r="E52" s="270"/>
      <c r="F52" s="270"/>
      <c r="G52" s="209"/>
      <c r="H52" s="209"/>
      <c r="I52" s="209"/>
      <c r="J52" s="209"/>
      <c r="K52" s="271"/>
      <c r="L52" s="272"/>
      <c r="M52" s="272"/>
      <c r="N52" s="287"/>
      <c r="O52" s="274"/>
      <c r="P52" s="274"/>
      <c r="Q52" s="274"/>
      <c r="R52" s="274"/>
      <c r="S52" s="275"/>
      <c r="T52" s="275"/>
      <c r="U52" s="276"/>
      <c r="V52" s="276"/>
      <c r="W52" s="209"/>
      <c r="X52" s="277"/>
    </row>
    <row r="53" spans="1:24" s="75" customFormat="1" ht="25.65" customHeight="1">
      <c r="A53" s="212"/>
      <c r="B53" s="269"/>
      <c r="C53" s="270"/>
      <c r="D53" s="270"/>
      <c r="E53" s="270"/>
      <c r="F53" s="270"/>
      <c r="G53" s="209"/>
      <c r="H53" s="209"/>
      <c r="I53" s="209"/>
      <c r="J53" s="209"/>
      <c r="K53" s="271"/>
      <c r="L53" s="272"/>
      <c r="M53" s="272"/>
      <c r="N53" s="287"/>
      <c r="O53" s="274"/>
      <c r="P53" s="274"/>
      <c r="Q53" s="274"/>
      <c r="R53" s="274"/>
      <c r="S53" s="275"/>
      <c r="T53" s="275"/>
      <c r="U53" s="276"/>
      <c r="V53" s="276"/>
      <c r="W53" s="209"/>
      <c r="X53" s="277"/>
    </row>
    <row r="54" spans="1:24" s="75" customFormat="1" ht="25.65" customHeight="1">
      <c r="A54" s="209"/>
      <c r="B54" s="269"/>
      <c r="C54" s="270"/>
      <c r="D54" s="270"/>
      <c r="E54" s="270"/>
      <c r="F54" s="270"/>
      <c r="G54" s="209"/>
      <c r="H54" s="209"/>
      <c r="I54" s="209"/>
      <c r="J54" s="209"/>
      <c r="K54" s="271"/>
      <c r="L54" s="272"/>
      <c r="M54" s="272"/>
      <c r="N54" s="287"/>
      <c r="O54" s="274"/>
      <c r="P54" s="274"/>
      <c r="Q54" s="274"/>
      <c r="R54" s="274"/>
      <c r="S54" s="275"/>
      <c r="T54" s="275"/>
      <c r="U54" s="276"/>
      <c r="V54" s="276"/>
      <c r="W54" s="209"/>
      <c r="X54" s="277"/>
    </row>
    <row r="55" spans="1:24" s="75" customFormat="1" ht="25.65" customHeight="1">
      <c r="A55" s="209"/>
      <c r="B55" s="269"/>
      <c r="C55" s="270"/>
      <c r="D55" s="270"/>
      <c r="E55" s="270"/>
      <c r="F55" s="270"/>
      <c r="G55" s="209"/>
      <c r="H55" s="209"/>
      <c r="I55" s="209"/>
      <c r="J55" s="209"/>
      <c r="K55" s="271"/>
      <c r="L55" s="272"/>
      <c r="M55" s="272"/>
      <c r="N55" s="287"/>
      <c r="O55" s="274"/>
      <c r="P55" s="274"/>
      <c r="Q55" s="274"/>
      <c r="R55" s="274"/>
      <c r="S55" s="275"/>
      <c r="T55" s="275"/>
      <c r="U55" s="276"/>
      <c r="V55" s="276"/>
      <c r="W55" s="209"/>
      <c r="X55" s="277"/>
    </row>
    <row r="56" spans="1:24" s="75" customFormat="1" ht="25.65" customHeight="1">
      <c r="A56" s="209"/>
      <c r="B56" s="269"/>
      <c r="C56" s="270"/>
      <c r="D56" s="270"/>
      <c r="E56" s="270"/>
      <c r="F56" s="270"/>
      <c r="G56" s="209"/>
      <c r="H56" s="209"/>
      <c r="I56" s="209"/>
      <c r="J56" s="209"/>
      <c r="K56" s="271"/>
      <c r="L56" s="272"/>
      <c r="M56" s="272"/>
      <c r="N56" s="287"/>
      <c r="O56" s="274"/>
      <c r="P56" s="274"/>
      <c r="Q56" s="274"/>
      <c r="R56" s="274"/>
      <c r="S56" s="275"/>
      <c r="T56" s="275"/>
      <c r="U56" s="276"/>
      <c r="V56" s="276"/>
      <c r="W56" s="209"/>
      <c r="X56" s="277"/>
    </row>
    <row r="57" spans="1:24" s="75" customFormat="1" ht="25.65" customHeight="1">
      <c r="A57" s="209"/>
      <c r="B57" s="269"/>
      <c r="C57" s="270"/>
      <c r="D57" s="270"/>
      <c r="E57" s="270"/>
      <c r="F57" s="270"/>
      <c r="G57" s="209"/>
      <c r="H57" s="209"/>
      <c r="I57" s="209"/>
      <c r="J57" s="209"/>
      <c r="K57" s="271"/>
      <c r="L57" s="272"/>
      <c r="M57" s="272"/>
      <c r="N57" s="287"/>
      <c r="O57" s="274"/>
      <c r="P57" s="274"/>
      <c r="Q57" s="274"/>
      <c r="R57" s="274"/>
      <c r="S57" s="275"/>
      <c r="T57" s="275"/>
      <c r="U57" s="276"/>
      <c r="V57" s="276"/>
      <c r="W57" s="209"/>
      <c r="X57" s="277"/>
    </row>
    <row r="58" spans="1:24" s="75" customFormat="1" ht="25.65" customHeight="1">
      <c r="A58" s="218"/>
      <c r="B58" s="221"/>
      <c r="C58" s="222"/>
      <c r="D58" s="223"/>
      <c r="E58" s="223"/>
      <c r="F58" s="223"/>
      <c r="G58" s="224"/>
      <c r="H58" s="209"/>
      <c r="I58" s="209"/>
      <c r="J58" s="209"/>
      <c r="K58" s="171"/>
      <c r="L58" s="225"/>
      <c r="M58" s="225"/>
      <c r="N58" s="218"/>
      <c r="O58" s="227"/>
      <c r="P58" s="228"/>
      <c r="Q58" s="227"/>
      <c r="R58" s="228"/>
      <c r="S58" s="229"/>
      <c r="T58" s="229"/>
      <c r="U58" s="217"/>
      <c r="V58" s="217"/>
      <c r="W58" s="218"/>
      <c r="X58" s="220"/>
    </row>
    <row r="59" spans="1:24" s="75" customFormat="1" ht="25.65" customHeight="1">
      <c r="A59" s="218"/>
      <c r="B59" s="221"/>
      <c r="C59" s="222"/>
      <c r="D59" s="223"/>
      <c r="E59" s="223"/>
      <c r="F59" s="223"/>
      <c r="G59" s="224"/>
      <c r="H59" s="209"/>
      <c r="I59" s="209"/>
      <c r="J59" s="209"/>
      <c r="K59" s="171"/>
      <c r="L59" s="225"/>
      <c r="M59" s="225"/>
      <c r="N59" s="218"/>
      <c r="O59" s="227"/>
      <c r="P59" s="228"/>
      <c r="Q59" s="227"/>
      <c r="R59" s="228"/>
      <c r="S59" s="229"/>
      <c r="T59" s="229"/>
      <c r="U59" s="217"/>
      <c r="V59" s="217"/>
      <c r="W59" s="218"/>
      <c r="X59" s="220"/>
    </row>
    <row r="60" spans="1:24" s="75" customFormat="1" ht="25.65" customHeight="1">
      <c r="A60" s="218"/>
      <c r="B60" s="221"/>
      <c r="C60" s="222"/>
      <c r="D60" s="223"/>
      <c r="E60" s="264"/>
      <c r="F60" s="222"/>
      <c r="G60" s="224"/>
      <c r="H60" s="209"/>
      <c r="I60" s="209"/>
      <c r="J60" s="209"/>
      <c r="K60" s="171"/>
      <c r="L60" s="225"/>
      <c r="M60" s="225"/>
      <c r="N60" s="230"/>
      <c r="O60" s="228"/>
      <c r="P60" s="231"/>
      <c r="Q60" s="228"/>
      <c r="R60" s="231"/>
      <c r="S60" s="229"/>
      <c r="T60" s="229"/>
      <c r="U60" s="217"/>
      <c r="V60" s="217"/>
      <c r="W60" s="218"/>
      <c r="X60" s="220"/>
    </row>
    <row r="61" spans="1:24" s="75" customFormat="1" ht="25.65" customHeight="1">
      <c r="A61" s="218"/>
      <c r="B61" s="239"/>
      <c r="C61" s="263"/>
      <c r="D61" s="264"/>
      <c r="E61" s="264"/>
      <c r="F61" s="263"/>
      <c r="G61" s="218"/>
      <c r="H61" s="215"/>
      <c r="I61" s="215"/>
      <c r="J61" s="215"/>
      <c r="K61" s="214"/>
      <c r="L61" s="226"/>
      <c r="M61" s="226"/>
      <c r="N61" s="255"/>
      <c r="O61" s="227"/>
      <c r="P61" s="254"/>
      <c r="Q61" s="227"/>
      <c r="R61" s="254"/>
      <c r="S61" s="229"/>
      <c r="T61" s="229"/>
      <c r="U61" s="217"/>
      <c r="V61" s="217"/>
      <c r="W61" s="218"/>
      <c r="X61" s="220"/>
    </row>
    <row r="62" spans="1:24" s="75" customFormat="1" ht="25.65" customHeight="1">
      <c r="A62" s="218"/>
      <c r="B62" s="221"/>
      <c r="C62" s="222"/>
      <c r="D62" s="223"/>
      <c r="E62" s="223"/>
      <c r="F62" s="223"/>
      <c r="G62" s="224"/>
      <c r="H62" s="209"/>
      <c r="I62" s="209"/>
      <c r="J62" s="209"/>
      <c r="K62" s="171"/>
      <c r="L62" s="225"/>
      <c r="M62" s="253"/>
      <c r="N62" s="230"/>
      <c r="O62" s="228"/>
      <c r="P62" s="231"/>
      <c r="Q62" s="228"/>
      <c r="R62" s="231"/>
      <c r="S62" s="229"/>
      <c r="T62" s="229"/>
      <c r="U62" s="217"/>
      <c r="V62" s="217"/>
      <c r="W62" s="218"/>
      <c r="X62" s="220"/>
    </row>
    <row r="63" spans="1:24" s="75" customFormat="1" ht="25.65" customHeight="1">
      <c r="A63" s="218"/>
      <c r="B63" s="221"/>
      <c r="C63" s="222"/>
      <c r="D63" s="223"/>
      <c r="E63" s="223"/>
      <c r="F63" s="223"/>
      <c r="G63" s="224"/>
      <c r="H63" s="209"/>
      <c r="I63" s="209"/>
      <c r="J63" s="209"/>
      <c r="K63" s="171"/>
      <c r="L63" s="225"/>
      <c r="M63" s="225"/>
      <c r="N63" s="218"/>
      <c r="O63" s="227"/>
      <c r="P63" s="228"/>
      <c r="Q63" s="227"/>
      <c r="R63" s="228"/>
      <c r="S63" s="229"/>
      <c r="T63" s="229"/>
      <c r="U63" s="217"/>
      <c r="V63" s="217"/>
      <c r="W63" s="218"/>
      <c r="X63" s="220"/>
    </row>
    <row r="64" spans="1:24" s="75" customFormat="1" ht="25.65" customHeight="1">
      <c r="A64" s="218"/>
      <c r="B64" s="221"/>
      <c r="C64" s="222"/>
      <c r="D64" s="223"/>
      <c r="E64" s="223"/>
      <c r="F64" s="223"/>
      <c r="G64" s="224"/>
      <c r="H64" s="209"/>
      <c r="I64" s="209"/>
      <c r="J64" s="209"/>
      <c r="K64" s="171"/>
      <c r="L64" s="225"/>
      <c r="M64" s="225"/>
      <c r="N64" s="250"/>
      <c r="O64" s="227"/>
      <c r="P64" s="228"/>
      <c r="Q64" s="227"/>
      <c r="R64" s="228"/>
      <c r="S64" s="229"/>
      <c r="T64" s="229"/>
      <c r="U64" s="217"/>
      <c r="V64" s="251"/>
      <c r="W64" s="218"/>
      <c r="X64" s="220"/>
    </row>
    <row r="65" spans="1:24" s="75" customFormat="1" ht="25.65" customHeight="1">
      <c r="A65" s="218"/>
      <c r="B65" s="221"/>
      <c r="C65" s="222"/>
      <c r="D65" s="223"/>
      <c r="E65" s="223"/>
      <c r="F65" s="223"/>
      <c r="G65" s="224"/>
      <c r="H65" s="209"/>
      <c r="I65" s="209"/>
      <c r="J65" s="209"/>
      <c r="K65" s="171"/>
      <c r="L65" s="225"/>
      <c r="M65" s="225"/>
      <c r="N65" s="218"/>
      <c r="O65" s="227"/>
      <c r="P65" s="228"/>
      <c r="Q65" s="227"/>
      <c r="R65" s="228"/>
      <c r="S65" s="229"/>
      <c r="T65" s="229"/>
      <c r="U65" s="217"/>
      <c r="V65" s="217"/>
      <c r="W65" s="218"/>
      <c r="X65" s="220"/>
    </row>
    <row r="66" spans="1:24" s="75" customFormat="1" ht="25.65" customHeight="1">
      <c r="A66" s="218"/>
      <c r="B66" s="221"/>
      <c r="C66" s="222"/>
      <c r="D66" s="223"/>
      <c r="E66" s="223"/>
      <c r="F66" s="223"/>
      <c r="G66" s="224"/>
      <c r="H66" s="209"/>
      <c r="I66" s="209"/>
      <c r="J66" s="209"/>
      <c r="K66" s="171"/>
      <c r="L66" s="225"/>
      <c r="M66" s="225"/>
      <c r="N66" s="250"/>
      <c r="O66" s="227"/>
      <c r="P66" s="228"/>
      <c r="Q66" s="227"/>
      <c r="R66" s="228"/>
      <c r="S66" s="229"/>
      <c r="T66" s="229"/>
      <c r="U66" s="217"/>
      <c r="V66" s="217"/>
      <c r="W66" s="218"/>
      <c r="X66" s="220"/>
    </row>
    <row r="67" spans="1:24" s="75" customFormat="1" ht="25.65" customHeight="1">
      <c r="A67" s="218"/>
      <c r="B67" s="221"/>
      <c r="C67" s="222"/>
      <c r="D67" s="223"/>
      <c r="E67" s="223"/>
      <c r="F67" s="222"/>
      <c r="G67" s="224"/>
      <c r="H67" s="209"/>
      <c r="I67" s="209"/>
      <c r="J67" s="209"/>
      <c r="K67" s="171"/>
      <c r="L67" s="225"/>
      <c r="M67" s="225"/>
      <c r="N67" s="230"/>
      <c r="O67" s="228"/>
      <c r="P67" s="231"/>
      <c r="Q67" s="228"/>
      <c r="R67" s="231"/>
      <c r="S67" s="229"/>
      <c r="T67" s="229"/>
      <c r="U67" s="217"/>
      <c r="V67" s="217"/>
      <c r="W67" s="218"/>
      <c r="X67" s="220"/>
    </row>
    <row r="68" spans="1:24" s="75" customFormat="1" ht="25.65" customHeight="1">
      <c r="A68" s="218"/>
      <c r="B68" s="221"/>
      <c r="C68" s="222"/>
      <c r="D68" s="223"/>
      <c r="E68" s="223"/>
      <c r="F68" s="223"/>
      <c r="G68" s="224"/>
      <c r="H68" s="209"/>
      <c r="I68" s="209"/>
      <c r="J68" s="209"/>
      <c r="K68" s="171"/>
      <c r="L68" s="225"/>
      <c r="M68" s="253"/>
      <c r="N68" s="230"/>
      <c r="O68" s="228"/>
      <c r="P68" s="231"/>
      <c r="Q68" s="228"/>
      <c r="R68" s="231"/>
      <c r="S68" s="229"/>
      <c r="T68" s="229"/>
      <c r="U68" s="217"/>
      <c r="V68" s="217"/>
      <c r="W68" s="218"/>
      <c r="X68" s="220"/>
    </row>
    <row r="69" spans="1:24" s="75" customFormat="1" ht="25.65" customHeight="1">
      <c r="A69" s="218"/>
      <c r="B69" s="221"/>
      <c r="C69" s="222"/>
      <c r="D69" s="223"/>
      <c r="E69" s="223"/>
      <c r="F69" s="223"/>
      <c r="G69" s="224"/>
      <c r="H69" s="209"/>
      <c r="I69" s="209"/>
      <c r="J69" s="209"/>
      <c r="K69" s="171"/>
      <c r="L69" s="225"/>
      <c r="M69" s="225"/>
      <c r="N69" s="250"/>
      <c r="O69" s="227"/>
      <c r="P69" s="228"/>
      <c r="Q69" s="227"/>
      <c r="R69" s="228"/>
      <c r="S69" s="229"/>
      <c r="T69" s="229"/>
      <c r="U69" s="217"/>
      <c r="V69" s="217"/>
      <c r="W69" s="218"/>
      <c r="X69" s="220"/>
    </row>
    <row r="70" spans="1:24" s="75" customFormat="1" ht="25.65" customHeight="1">
      <c r="A70" s="218"/>
      <c r="B70" s="221"/>
      <c r="C70" s="222"/>
      <c r="D70" s="223"/>
      <c r="E70" s="223"/>
      <c r="F70" s="223"/>
      <c r="G70" s="224"/>
      <c r="H70" s="209"/>
      <c r="I70" s="209"/>
      <c r="J70" s="209"/>
      <c r="K70" s="171"/>
      <c r="L70" s="225"/>
      <c r="M70" s="225"/>
      <c r="N70" s="230"/>
      <c r="O70" s="228"/>
      <c r="P70" s="231"/>
      <c r="Q70" s="228"/>
      <c r="R70" s="231"/>
      <c r="S70" s="229"/>
      <c r="T70" s="229"/>
      <c r="U70" s="217"/>
      <c r="V70" s="217"/>
      <c r="W70" s="218"/>
      <c r="X70" s="220"/>
    </row>
    <row r="71" spans="1:24" s="75" customFormat="1" ht="25.65" customHeight="1">
      <c r="A71" s="218"/>
      <c r="B71" s="221"/>
      <c r="C71" s="222"/>
      <c r="D71" s="223"/>
      <c r="E71" s="223"/>
      <c r="F71" s="223"/>
      <c r="G71" s="224"/>
      <c r="H71" s="209"/>
      <c r="I71" s="209"/>
      <c r="J71" s="209"/>
      <c r="K71" s="171"/>
      <c r="L71" s="225"/>
      <c r="M71" s="225"/>
      <c r="N71" s="230"/>
      <c r="O71" s="228"/>
      <c r="P71" s="231"/>
      <c r="Q71" s="228"/>
      <c r="R71" s="231"/>
      <c r="S71" s="229"/>
      <c r="T71" s="229"/>
      <c r="U71" s="217"/>
      <c r="V71" s="217"/>
      <c r="W71" s="218"/>
      <c r="X71" s="220"/>
    </row>
    <row r="72" spans="1:24" s="75" customFormat="1" ht="25.65" customHeight="1">
      <c r="A72" s="218"/>
      <c r="B72" s="221"/>
      <c r="C72" s="222"/>
      <c r="D72" s="223"/>
      <c r="E72" s="223"/>
      <c r="F72" s="223"/>
      <c r="G72" s="224"/>
      <c r="H72" s="209"/>
      <c r="I72" s="209"/>
      <c r="J72" s="209"/>
      <c r="K72" s="171"/>
      <c r="L72" s="225"/>
      <c r="M72" s="225"/>
      <c r="N72" s="230"/>
      <c r="O72" s="228"/>
      <c r="P72" s="231"/>
      <c r="Q72" s="228"/>
      <c r="R72" s="231"/>
      <c r="S72" s="229"/>
      <c r="T72" s="229"/>
      <c r="U72" s="217"/>
      <c r="V72" s="217"/>
      <c r="W72" s="218"/>
      <c r="X72" s="220"/>
    </row>
    <row r="73" spans="1:24" s="75" customFormat="1" ht="25.65" customHeight="1">
      <c r="A73" s="218"/>
      <c r="B73" s="221"/>
      <c r="C73" s="222"/>
      <c r="D73" s="223"/>
      <c r="E73" s="223"/>
      <c r="F73" s="223"/>
      <c r="G73" s="224"/>
      <c r="H73" s="209"/>
      <c r="I73" s="209"/>
      <c r="J73" s="209"/>
      <c r="K73" s="171"/>
      <c r="L73" s="225"/>
      <c r="M73" s="225"/>
      <c r="N73" s="230"/>
      <c r="O73" s="228"/>
      <c r="P73" s="231"/>
      <c r="Q73" s="228"/>
      <c r="R73" s="231"/>
      <c r="S73" s="229"/>
      <c r="T73" s="229"/>
      <c r="U73" s="217"/>
      <c r="V73" s="217"/>
      <c r="W73" s="218"/>
      <c r="X73" s="220"/>
    </row>
    <row r="74" spans="1:24" s="75" customFormat="1" ht="25.65" customHeight="1">
      <c r="A74" s="218"/>
      <c r="B74" s="221"/>
      <c r="C74" s="222"/>
      <c r="D74" s="223"/>
      <c r="E74" s="223"/>
      <c r="F74" s="223"/>
      <c r="G74" s="224"/>
      <c r="H74" s="209"/>
      <c r="I74" s="209"/>
      <c r="J74" s="209"/>
      <c r="K74" s="171"/>
      <c r="L74" s="225"/>
      <c r="M74" s="225"/>
      <c r="N74" s="230"/>
      <c r="O74" s="228"/>
      <c r="P74" s="231"/>
      <c r="Q74" s="228"/>
      <c r="R74" s="231"/>
      <c r="S74" s="229"/>
      <c r="T74" s="229"/>
      <c r="U74" s="217"/>
      <c r="V74" s="217"/>
      <c r="W74" s="218"/>
      <c r="X74" s="220"/>
    </row>
    <row r="75" spans="1:24" s="75" customFormat="1" ht="25.65" customHeight="1">
      <c r="A75" s="218"/>
      <c r="B75" s="221"/>
      <c r="C75" s="222"/>
      <c r="D75" s="223"/>
      <c r="E75" s="223"/>
      <c r="F75" s="223"/>
      <c r="G75" s="224"/>
      <c r="H75" s="209"/>
      <c r="I75" s="209"/>
      <c r="J75" s="209"/>
      <c r="K75" s="171"/>
      <c r="L75" s="225"/>
      <c r="M75" s="225"/>
      <c r="N75" s="230"/>
      <c r="O75" s="228"/>
      <c r="P75" s="231"/>
      <c r="Q75" s="228"/>
      <c r="R75" s="231"/>
      <c r="S75" s="229"/>
      <c r="T75" s="229"/>
      <c r="U75" s="217"/>
      <c r="V75" s="217"/>
      <c r="W75" s="218"/>
      <c r="X75" s="220"/>
    </row>
    <row r="76" spans="1:24" s="75" customFormat="1" ht="25.65" customHeight="1">
      <c r="A76" s="218"/>
      <c r="B76" s="221"/>
      <c r="C76" s="222"/>
      <c r="D76" s="223"/>
      <c r="E76" s="223"/>
      <c r="F76" s="223"/>
      <c r="G76" s="224"/>
      <c r="H76" s="209"/>
      <c r="I76" s="209"/>
      <c r="J76" s="209"/>
      <c r="K76" s="171"/>
      <c r="L76" s="225"/>
      <c r="M76" s="225"/>
      <c r="N76" s="230"/>
      <c r="O76" s="228"/>
      <c r="P76" s="231"/>
      <c r="Q76" s="228"/>
      <c r="R76" s="231"/>
      <c r="S76" s="229"/>
      <c r="T76" s="229"/>
      <c r="U76" s="217"/>
      <c r="V76" s="217"/>
      <c r="W76" s="218"/>
      <c r="X76" s="220"/>
    </row>
    <row r="77" spans="1:24" s="75" customFormat="1" ht="25.65" customHeight="1">
      <c r="A77" s="218"/>
      <c r="B77" s="221"/>
      <c r="C77" s="222"/>
      <c r="D77" s="223"/>
      <c r="E77" s="223"/>
      <c r="F77" s="223"/>
      <c r="G77" s="224"/>
      <c r="H77" s="209"/>
      <c r="I77" s="209"/>
      <c r="J77" s="209"/>
      <c r="K77" s="171"/>
      <c r="L77" s="225"/>
      <c r="M77" s="225"/>
      <c r="N77" s="230"/>
      <c r="O77" s="228"/>
      <c r="P77" s="231"/>
      <c r="Q77" s="228"/>
      <c r="R77" s="231"/>
      <c r="S77" s="229"/>
      <c r="T77" s="229"/>
      <c r="U77" s="217"/>
      <c r="V77" s="217"/>
      <c r="W77" s="218"/>
      <c r="X77" s="220"/>
    </row>
    <row r="78" spans="1:24" s="75" customFormat="1" ht="25.65" customHeight="1">
      <c r="A78" s="218"/>
      <c r="B78" s="221"/>
      <c r="C78" s="222"/>
      <c r="D78" s="223"/>
      <c r="E78" s="223"/>
      <c r="F78" s="223"/>
      <c r="G78" s="224"/>
      <c r="H78" s="209"/>
      <c r="I78" s="209"/>
      <c r="J78" s="209"/>
      <c r="K78" s="171"/>
      <c r="L78" s="225"/>
      <c r="M78" s="225"/>
      <c r="N78" s="230"/>
      <c r="O78" s="228"/>
      <c r="P78" s="231"/>
      <c r="Q78" s="228"/>
      <c r="R78" s="231"/>
      <c r="S78" s="229"/>
      <c r="T78" s="229"/>
      <c r="U78" s="217"/>
      <c r="V78" s="217"/>
      <c r="W78" s="218"/>
      <c r="X78" s="220"/>
    </row>
    <row r="79" spans="1:24" s="75" customFormat="1" ht="25.65" customHeight="1">
      <c r="A79" s="218"/>
      <c r="B79" s="221"/>
      <c r="C79" s="222"/>
      <c r="D79" s="223"/>
      <c r="E79" s="223"/>
      <c r="F79" s="223"/>
      <c r="G79" s="224"/>
      <c r="H79" s="209"/>
      <c r="I79" s="209"/>
      <c r="J79" s="209"/>
      <c r="K79" s="171"/>
      <c r="L79" s="225"/>
      <c r="M79" s="225"/>
      <c r="N79" s="230"/>
      <c r="O79" s="228"/>
      <c r="P79" s="231"/>
      <c r="Q79" s="228"/>
      <c r="R79" s="231"/>
      <c r="S79" s="229"/>
      <c r="T79" s="229"/>
      <c r="U79" s="217"/>
      <c r="V79" s="217"/>
      <c r="W79" s="218"/>
      <c r="X79" s="220"/>
    </row>
    <row r="80" spans="1:24" s="75" customFormat="1" ht="25.65" customHeight="1">
      <c r="A80" s="218"/>
      <c r="B80" s="221"/>
      <c r="C80" s="222"/>
      <c r="D80" s="223"/>
      <c r="E80" s="223"/>
      <c r="F80" s="223"/>
      <c r="G80" s="224"/>
      <c r="H80" s="209"/>
      <c r="I80" s="209"/>
      <c r="J80" s="209"/>
      <c r="K80" s="171"/>
      <c r="L80" s="225"/>
      <c r="M80" s="225"/>
      <c r="N80" s="230"/>
      <c r="O80" s="228"/>
      <c r="P80" s="231"/>
      <c r="Q80" s="228"/>
      <c r="R80" s="231"/>
      <c r="S80" s="229"/>
      <c r="T80" s="229"/>
      <c r="U80" s="217"/>
      <c r="V80" s="217"/>
      <c r="W80" s="218"/>
      <c r="X80" s="220"/>
    </row>
    <row r="81" spans="1:24" s="75" customFormat="1" ht="25.65" customHeight="1">
      <c r="A81" s="218"/>
      <c r="B81" s="221"/>
      <c r="C81" s="222"/>
      <c r="D81" s="223"/>
      <c r="E81" s="223"/>
      <c r="F81" s="223"/>
      <c r="G81" s="224"/>
      <c r="H81" s="209"/>
      <c r="I81" s="209"/>
      <c r="J81" s="209"/>
      <c r="K81" s="171"/>
      <c r="L81" s="225"/>
      <c r="M81" s="225"/>
      <c r="N81" s="230"/>
      <c r="O81" s="228"/>
      <c r="P81" s="231"/>
      <c r="Q81" s="228"/>
      <c r="R81" s="231"/>
      <c r="S81" s="229"/>
      <c r="T81" s="229"/>
      <c r="U81" s="217"/>
      <c r="V81" s="217"/>
      <c r="W81" s="218"/>
      <c r="X81" s="220"/>
    </row>
    <row r="82" spans="1:24" s="75" customFormat="1" ht="25.65" customHeight="1">
      <c r="A82" s="218"/>
      <c r="B82" s="221"/>
      <c r="C82" s="222"/>
      <c r="D82" s="223"/>
      <c r="E82" s="223"/>
      <c r="F82" s="223"/>
      <c r="G82" s="224"/>
      <c r="H82" s="209"/>
      <c r="I82" s="209"/>
      <c r="J82" s="209"/>
      <c r="K82" s="171"/>
      <c r="L82" s="225"/>
      <c r="M82" s="225"/>
      <c r="N82" s="230"/>
      <c r="O82" s="228"/>
      <c r="P82" s="231"/>
      <c r="Q82" s="228"/>
      <c r="R82" s="231"/>
      <c r="S82" s="229"/>
      <c r="T82" s="229"/>
      <c r="U82" s="217"/>
      <c r="V82" s="217"/>
      <c r="W82" s="218"/>
      <c r="X82" s="220"/>
    </row>
    <row r="83" spans="1:24" s="75" customFormat="1" ht="25.65" customHeight="1">
      <c r="A83" s="218"/>
      <c r="B83" s="221"/>
      <c r="C83" s="222"/>
      <c r="D83" s="223"/>
      <c r="E83" s="223"/>
      <c r="F83" s="223"/>
      <c r="G83" s="224"/>
      <c r="H83" s="209"/>
      <c r="I83" s="209"/>
      <c r="J83" s="209"/>
      <c r="K83" s="171"/>
      <c r="L83" s="225"/>
      <c r="M83" s="225"/>
      <c r="N83" s="230"/>
      <c r="O83" s="228"/>
      <c r="P83" s="231"/>
      <c r="Q83" s="228"/>
      <c r="R83" s="231"/>
      <c r="S83" s="229"/>
      <c r="T83" s="229"/>
      <c r="U83" s="217"/>
      <c r="V83" s="217"/>
      <c r="W83" s="218"/>
      <c r="X83" s="220"/>
    </row>
    <row r="84" spans="1:24" s="75" customFormat="1" ht="25.65" customHeight="1">
      <c r="A84" s="218"/>
      <c r="B84" s="221"/>
      <c r="C84" s="222"/>
      <c r="D84" s="223"/>
      <c r="E84" s="223"/>
      <c r="F84" s="223"/>
      <c r="G84" s="224"/>
      <c r="H84" s="209"/>
      <c r="I84" s="209"/>
      <c r="J84" s="209"/>
      <c r="K84" s="171"/>
      <c r="L84" s="225"/>
      <c r="M84" s="225"/>
      <c r="N84" s="230"/>
      <c r="O84" s="228"/>
      <c r="P84" s="231"/>
      <c r="Q84" s="228"/>
      <c r="R84" s="231"/>
      <c r="S84" s="229"/>
      <c r="T84" s="229"/>
      <c r="U84" s="217"/>
      <c r="V84" s="217"/>
      <c r="W84" s="218"/>
      <c r="X84" s="220"/>
    </row>
    <row r="85" spans="1:24" s="75" customFormat="1" ht="25.65" customHeight="1">
      <c r="A85" s="218"/>
      <c r="B85" s="221"/>
      <c r="C85" s="222"/>
      <c r="D85" s="223"/>
      <c r="E85" s="223"/>
      <c r="F85" s="223"/>
      <c r="G85" s="224"/>
      <c r="H85" s="209"/>
      <c r="I85" s="209"/>
      <c r="J85" s="209"/>
      <c r="K85" s="171"/>
      <c r="L85" s="225"/>
      <c r="M85" s="225"/>
      <c r="N85" s="230"/>
      <c r="O85" s="228"/>
      <c r="P85" s="231"/>
      <c r="Q85" s="228"/>
      <c r="R85" s="231"/>
      <c r="S85" s="229"/>
      <c r="T85" s="229"/>
      <c r="U85" s="217"/>
      <c r="V85" s="217"/>
      <c r="W85" s="218"/>
      <c r="X85" s="220"/>
    </row>
    <row r="86" spans="1:24" s="75" customFormat="1" ht="25.65" customHeight="1">
      <c r="A86" s="218"/>
      <c r="B86" s="221"/>
      <c r="C86" s="222"/>
      <c r="D86" s="223"/>
      <c r="E86" s="223"/>
      <c r="F86" s="223"/>
      <c r="G86" s="224"/>
      <c r="H86" s="209"/>
      <c r="I86" s="209"/>
      <c r="J86" s="209"/>
      <c r="K86" s="171"/>
      <c r="L86" s="225"/>
      <c r="M86" s="225"/>
      <c r="N86" s="230"/>
      <c r="O86" s="228"/>
      <c r="P86" s="231"/>
      <c r="Q86" s="228"/>
      <c r="R86" s="231"/>
      <c r="S86" s="229"/>
      <c r="T86" s="229"/>
      <c r="U86" s="217"/>
      <c r="V86" s="217"/>
      <c r="W86" s="218"/>
      <c r="X86" s="220"/>
    </row>
    <row r="87" spans="1:24" s="75" customFormat="1" ht="25.65" customHeight="1">
      <c r="A87" s="218"/>
      <c r="B87" s="221"/>
      <c r="C87" s="222"/>
      <c r="D87" s="223"/>
      <c r="E87" s="223"/>
      <c r="F87" s="223"/>
      <c r="G87" s="224"/>
      <c r="H87" s="209"/>
      <c r="I87" s="209"/>
      <c r="J87" s="209"/>
      <c r="K87" s="171"/>
      <c r="L87" s="225"/>
      <c r="M87" s="225"/>
      <c r="N87" s="230"/>
      <c r="O87" s="228"/>
      <c r="P87" s="231"/>
      <c r="Q87" s="228"/>
      <c r="R87" s="231"/>
      <c r="S87" s="229"/>
      <c r="T87" s="229"/>
      <c r="U87" s="217"/>
      <c r="V87" s="217"/>
      <c r="W87" s="218"/>
      <c r="X87" s="220"/>
    </row>
    <row r="88" spans="1:24" s="75" customFormat="1" ht="25.65" customHeight="1">
      <c r="A88" s="218"/>
      <c r="B88" s="221"/>
      <c r="C88" s="222"/>
      <c r="D88" s="223"/>
      <c r="E88" s="223"/>
      <c r="F88" s="223"/>
      <c r="G88" s="224"/>
      <c r="H88" s="209"/>
      <c r="I88" s="209"/>
      <c r="J88" s="209"/>
      <c r="K88" s="171"/>
      <c r="L88" s="225"/>
      <c r="M88" s="225"/>
      <c r="N88" s="230"/>
      <c r="O88" s="228"/>
      <c r="P88" s="231"/>
      <c r="Q88" s="228"/>
      <c r="R88" s="231"/>
      <c r="S88" s="229"/>
      <c r="T88" s="229"/>
      <c r="U88" s="217"/>
      <c r="V88" s="217"/>
      <c r="W88" s="218"/>
      <c r="X88" s="220"/>
    </row>
    <row r="89" spans="1:24" s="75" customFormat="1" ht="25.65" customHeight="1">
      <c r="A89" s="218"/>
      <c r="B89" s="221"/>
      <c r="C89" s="222"/>
      <c r="D89" s="223"/>
      <c r="E89" s="223"/>
      <c r="F89" s="223"/>
      <c r="G89" s="224"/>
      <c r="H89" s="209"/>
      <c r="I89" s="209"/>
      <c r="J89" s="209"/>
      <c r="K89" s="171"/>
      <c r="L89" s="225"/>
      <c r="M89" s="225"/>
      <c r="N89" s="230"/>
      <c r="O89" s="228"/>
      <c r="P89" s="231"/>
      <c r="Q89" s="228"/>
      <c r="R89" s="231"/>
      <c r="S89" s="229"/>
      <c r="T89" s="229"/>
      <c r="U89" s="217"/>
      <c r="V89" s="217"/>
      <c r="W89" s="218"/>
      <c r="X89" s="220"/>
    </row>
    <row r="90" spans="1:24" s="75" customFormat="1" ht="25.65" customHeight="1">
      <c r="A90" s="218"/>
      <c r="B90" s="221"/>
      <c r="C90" s="222"/>
      <c r="D90" s="223"/>
      <c r="E90" s="223"/>
      <c r="F90" s="223"/>
      <c r="G90" s="224"/>
      <c r="H90" s="209"/>
      <c r="I90" s="209"/>
      <c r="J90" s="209"/>
      <c r="K90" s="171"/>
      <c r="L90" s="225"/>
      <c r="M90" s="225"/>
      <c r="N90" s="230"/>
      <c r="O90" s="228"/>
      <c r="P90" s="231"/>
      <c r="Q90" s="228"/>
      <c r="R90" s="231"/>
      <c r="S90" s="229"/>
      <c r="T90" s="229"/>
      <c r="U90" s="217"/>
      <c r="V90" s="217"/>
      <c r="W90" s="218"/>
      <c r="X90" s="220"/>
    </row>
    <row r="91" spans="1:24" s="75" customFormat="1" ht="25.65" customHeight="1">
      <c r="A91" s="218"/>
      <c r="B91" s="221"/>
      <c r="C91" s="222"/>
      <c r="D91" s="223"/>
      <c r="E91" s="223"/>
      <c r="F91" s="223"/>
      <c r="G91" s="224"/>
      <c r="H91" s="209"/>
      <c r="I91" s="209"/>
      <c r="J91" s="209"/>
      <c r="K91" s="171"/>
      <c r="L91" s="225"/>
      <c r="M91" s="225"/>
      <c r="N91" s="230"/>
      <c r="O91" s="228"/>
      <c r="P91" s="231"/>
      <c r="Q91" s="228"/>
      <c r="R91" s="231"/>
      <c r="S91" s="229"/>
      <c r="T91" s="229"/>
      <c r="U91" s="217"/>
      <c r="V91" s="217"/>
      <c r="W91" s="218"/>
      <c r="X91" s="220"/>
    </row>
    <row r="92" spans="1:24" s="75" customFormat="1" ht="25.65" customHeight="1">
      <c r="A92" s="218"/>
      <c r="B92" s="221"/>
      <c r="C92" s="222"/>
      <c r="D92" s="223"/>
      <c r="E92" s="223"/>
      <c r="F92" s="223"/>
      <c r="G92" s="224"/>
      <c r="H92" s="209"/>
      <c r="I92" s="209"/>
      <c r="J92" s="209"/>
      <c r="K92" s="171"/>
      <c r="L92" s="225"/>
      <c r="M92" s="225"/>
      <c r="N92" s="230"/>
      <c r="O92" s="228"/>
      <c r="P92" s="231"/>
      <c r="Q92" s="228"/>
      <c r="R92" s="231"/>
      <c r="S92" s="229"/>
      <c r="T92" s="229"/>
      <c r="U92" s="217"/>
      <c r="V92" s="217"/>
      <c r="W92" s="218"/>
      <c r="X92" s="220"/>
    </row>
    <row r="93" spans="1:24" s="75" customFormat="1" ht="25.65" customHeight="1">
      <c r="A93" s="218"/>
      <c r="B93" s="221"/>
      <c r="C93" s="222"/>
      <c r="D93" s="223"/>
      <c r="E93" s="223"/>
      <c r="F93" s="223"/>
      <c r="G93" s="224"/>
      <c r="H93" s="209"/>
      <c r="I93" s="209"/>
      <c r="J93" s="209"/>
      <c r="K93" s="171"/>
      <c r="L93" s="225"/>
      <c r="M93" s="225"/>
      <c r="N93" s="230"/>
      <c r="O93" s="228"/>
      <c r="P93" s="231"/>
      <c r="Q93" s="228"/>
      <c r="R93" s="231"/>
      <c r="S93" s="229"/>
      <c r="T93" s="229"/>
      <c r="U93" s="217"/>
      <c r="V93" s="217"/>
      <c r="W93" s="218"/>
      <c r="X93" s="220"/>
    </row>
    <row r="94" spans="1:24" s="75" customFormat="1" ht="25.65" customHeight="1">
      <c r="A94" s="218"/>
      <c r="B94" s="221"/>
      <c r="C94" s="222"/>
      <c r="D94" s="223"/>
      <c r="E94" s="223"/>
      <c r="F94" s="223"/>
      <c r="G94" s="224"/>
      <c r="H94" s="209"/>
      <c r="I94" s="209"/>
      <c r="J94" s="209"/>
      <c r="K94" s="171"/>
      <c r="L94" s="225"/>
      <c r="M94" s="225"/>
      <c r="N94" s="230"/>
      <c r="O94" s="228"/>
      <c r="P94" s="231"/>
      <c r="Q94" s="228"/>
      <c r="R94" s="231"/>
      <c r="S94" s="229"/>
      <c r="T94" s="229"/>
      <c r="U94" s="217"/>
      <c r="V94" s="217"/>
      <c r="W94" s="218"/>
      <c r="X94" s="220"/>
    </row>
    <row r="95" spans="1:24" s="75" customFormat="1" ht="25.65" customHeight="1">
      <c r="A95" s="218"/>
      <c r="B95" s="221"/>
      <c r="C95" s="222"/>
      <c r="D95" s="223"/>
      <c r="E95" s="223"/>
      <c r="F95" s="223"/>
      <c r="G95" s="224"/>
      <c r="H95" s="209"/>
      <c r="I95" s="209"/>
      <c r="J95" s="209"/>
      <c r="K95" s="171"/>
      <c r="L95" s="225"/>
      <c r="M95" s="225"/>
      <c r="N95" s="230"/>
      <c r="O95" s="228"/>
      <c r="P95" s="231"/>
      <c r="Q95" s="228"/>
      <c r="R95" s="231"/>
      <c r="S95" s="229"/>
      <c r="T95" s="229"/>
      <c r="U95" s="217"/>
      <c r="V95" s="217"/>
      <c r="W95" s="218"/>
      <c r="X95" s="220"/>
    </row>
    <row r="96" spans="1:24" s="75" customFormat="1" ht="25.65" customHeight="1">
      <c r="A96" s="218"/>
      <c r="B96" s="221"/>
      <c r="C96" s="222"/>
      <c r="D96" s="223"/>
      <c r="E96" s="223"/>
      <c r="F96" s="223"/>
      <c r="G96" s="224"/>
      <c r="H96" s="209"/>
      <c r="I96" s="209"/>
      <c r="J96" s="209"/>
      <c r="K96" s="171"/>
      <c r="L96" s="225"/>
      <c r="M96" s="225"/>
      <c r="N96" s="230"/>
      <c r="O96" s="228"/>
      <c r="P96" s="231"/>
      <c r="Q96" s="228"/>
      <c r="R96" s="231"/>
      <c r="S96" s="229"/>
      <c r="T96" s="229"/>
      <c r="U96" s="217"/>
      <c r="V96" s="217"/>
      <c r="W96" s="218"/>
      <c r="X96" s="220"/>
    </row>
    <row r="97" spans="1:24" s="75" customFormat="1" ht="25.65" customHeight="1">
      <c r="A97" s="218"/>
      <c r="B97" s="221"/>
      <c r="C97" s="222"/>
      <c r="D97" s="223"/>
      <c r="E97" s="223"/>
      <c r="F97" s="223"/>
      <c r="G97" s="224"/>
      <c r="H97" s="209"/>
      <c r="I97" s="209"/>
      <c r="J97" s="209"/>
      <c r="K97" s="171"/>
      <c r="L97" s="225"/>
      <c r="M97" s="225"/>
      <c r="N97" s="230"/>
      <c r="O97" s="228"/>
      <c r="P97" s="231"/>
      <c r="Q97" s="228"/>
      <c r="R97" s="231"/>
      <c r="S97" s="229"/>
      <c r="T97" s="229"/>
      <c r="U97" s="217"/>
      <c r="V97" s="217"/>
      <c r="W97" s="218"/>
      <c r="X97" s="220"/>
    </row>
    <row r="98" spans="1:24" s="75" customFormat="1" ht="25.65" customHeight="1">
      <c r="A98" s="218"/>
      <c r="B98" s="221"/>
      <c r="C98" s="222"/>
      <c r="D98" s="223"/>
      <c r="E98" s="223"/>
      <c r="F98" s="223"/>
      <c r="G98" s="224"/>
      <c r="H98" s="209"/>
      <c r="I98" s="209"/>
      <c r="J98" s="209"/>
      <c r="K98" s="171"/>
      <c r="L98" s="225"/>
      <c r="M98" s="225"/>
      <c r="N98" s="230"/>
      <c r="O98" s="228"/>
      <c r="P98" s="231"/>
      <c r="Q98" s="228"/>
      <c r="R98" s="231"/>
      <c r="S98" s="229"/>
      <c r="T98" s="229"/>
      <c r="U98" s="217"/>
      <c r="V98" s="217"/>
      <c r="W98" s="218"/>
      <c r="X98" s="220"/>
    </row>
    <row r="99" spans="1:24" s="75" customFormat="1" ht="25.65" customHeight="1">
      <c r="A99" s="218"/>
      <c r="B99" s="221"/>
      <c r="C99" s="222"/>
      <c r="D99" s="223"/>
      <c r="E99" s="223"/>
      <c r="F99" s="223"/>
      <c r="G99" s="224"/>
      <c r="H99" s="209"/>
      <c r="I99" s="209"/>
      <c r="J99" s="209"/>
      <c r="K99" s="171"/>
      <c r="L99" s="225"/>
      <c r="M99" s="225"/>
      <c r="N99" s="230"/>
      <c r="O99" s="228"/>
      <c r="P99" s="231"/>
      <c r="Q99" s="228"/>
      <c r="R99" s="231"/>
      <c r="S99" s="229"/>
      <c r="T99" s="229"/>
      <c r="U99" s="217"/>
      <c r="V99" s="217"/>
      <c r="W99" s="218"/>
      <c r="X99" s="220"/>
    </row>
    <row r="100" spans="1:24" s="75" customFormat="1" ht="25.65" customHeight="1">
      <c r="A100" s="218"/>
      <c r="B100" s="221"/>
      <c r="C100" s="222"/>
      <c r="D100" s="223"/>
      <c r="E100" s="223"/>
      <c r="F100" s="223"/>
      <c r="G100" s="224"/>
      <c r="H100" s="209"/>
      <c r="I100" s="209"/>
      <c r="J100" s="209"/>
      <c r="K100" s="171"/>
      <c r="L100" s="225"/>
      <c r="M100" s="225"/>
      <c r="N100" s="230"/>
      <c r="O100" s="228"/>
      <c r="P100" s="231"/>
      <c r="Q100" s="228"/>
      <c r="R100" s="231"/>
      <c r="S100" s="229"/>
      <c r="T100" s="229"/>
      <c r="U100" s="217"/>
      <c r="V100" s="217"/>
      <c r="W100" s="218"/>
      <c r="X100" s="220"/>
    </row>
    <row r="101" spans="1:24" s="75" customFormat="1" ht="25.65" customHeight="1">
      <c r="A101" s="218"/>
      <c r="B101" s="221"/>
      <c r="C101" s="222"/>
      <c r="D101" s="223"/>
      <c r="E101" s="223"/>
      <c r="F101" s="223"/>
      <c r="G101" s="224"/>
      <c r="H101" s="209"/>
      <c r="I101" s="209"/>
      <c r="J101" s="209"/>
      <c r="K101" s="171"/>
      <c r="L101" s="225"/>
      <c r="M101" s="225"/>
      <c r="N101" s="230"/>
      <c r="O101" s="228"/>
      <c r="P101" s="231"/>
      <c r="Q101" s="228"/>
      <c r="R101" s="231"/>
      <c r="S101" s="229"/>
      <c r="T101" s="229"/>
      <c r="U101" s="217"/>
      <c r="V101" s="217"/>
      <c r="W101" s="218"/>
      <c r="X101" s="220"/>
    </row>
    <row r="102" spans="1:24" s="75" customFormat="1" ht="25.65" customHeight="1">
      <c r="A102" s="218"/>
      <c r="B102" s="221"/>
      <c r="C102" s="222"/>
      <c r="D102" s="223"/>
      <c r="E102" s="223"/>
      <c r="F102" s="223"/>
      <c r="G102" s="224"/>
      <c r="H102" s="209"/>
      <c r="I102" s="209"/>
      <c r="J102" s="209"/>
      <c r="K102" s="171"/>
      <c r="L102" s="225"/>
      <c r="M102" s="225"/>
      <c r="N102" s="230"/>
      <c r="O102" s="228"/>
      <c r="P102" s="231"/>
      <c r="Q102" s="228"/>
      <c r="R102" s="231"/>
      <c r="S102" s="229"/>
      <c r="T102" s="229"/>
      <c r="U102" s="217"/>
      <c r="V102" s="217"/>
      <c r="W102" s="218"/>
      <c r="X102" s="220"/>
    </row>
    <row r="103" spans="1:24" s="75" customFormat="1" ht="25.65" customHeight="1">
      <c r="A103" s="218"/>
      <c r="B103" s="221"/>
      <c r="C103" s="222"/>
      <c r="D103" s="223"/>
      <c r="E103" s="223"/>
      <c r="F103" s="223"/>
      <c r="G103" s="224"/>
      <c r="H103" s="209"/>
      <c r="I103" s="209"/>
      <c r="J103" s="209"/>
      <c r="K103" s="171"/>
      <c r="L103" s="225"/>
      <c r="M103" s="225"/>
      <c r="N103" s="230"/>
      <c r="O103" s="228"/>
      <c r="P103" s="231"/>
      <c r="Q103" s="228"/>
      <c r="R103" s="231"/>
      <c r="S103" s="229"/>
      <c r="T103" s="229"/>
      <c r="U103" s="217"/>
      <c r="V103" s="217"/>
      <c r="W103" s="218"/>
      <c r="X103" s="220"/>
    </row>
    <row r="104" spans="1:24" s="75" customFormat="1" ht="25.65" customHeight="1">
      <c r="A104" s="218"/>
      <c r="B104" s="221"/>
      <c r="C104" s="222"/>
      <c r="D104" s="223"/>
      <c r="E104" s="223"/>
      <c r="F104" s="223"/>
      <c r="G104" s="224"/>
      <c r="H104" s="209"/>
      <c r="I104" s="209"/>
      <c r="J104" s="209"/>
      <c r="K104" s="171"/>
      <c r="L104" s="225"/>
      <c r="M104" s="225"/>
      <c r="N104" s="230"/>
      <c r="O104" s="228"/>
      <c r="P104" s="231"/>
      <c r="Q104" s="228"/>
      <c r="R104" s="231"/>
      <c r="S104" s="229"/>
      <c r="T104" s="229"/>
      <c r="U104" s="217"/>
      <c r="V104" s="217"/>
      <c r="W104" s="218"/>
      <c r="X104" s="220"/>
    </row>
    <row r="105" spans="1:24" s="75" customFormat="1" ht="25.65" customHeight="1">
      <c r="A105" s="218"/>
      <c r="B105" s="221"/>
      <c r="C105" s="222"/>
      <c r="D105" s="223"/>
      <c r="E105" s="223"/>
      <c r="F105" s="223"/>
      <c r="G105" s="224"/>
      <c r="H105" s="209"/>
      <c r="I105" s="209"/>
      <c r="J105" s="209"/>
      <c r="K105" s="171"/>
      <c r="L105" s="225"/>
      <c r="M105" s="225"/>
      <c r="N105" s="230"/>
      <c r="O105" s="228"/>
      <c r="P105" s="231"/>
      <c r="Q105" s="228"/>
      <c r="R105" s="231"/>
      <c r="S105" s="229"/>
      <c r="T105" s="229"/>
      <c r="U105" s="217"/>
      <c r="V105" s="217"/>
      <c r="W105" s="218"/>
      <c r="X105" s="220"/>
    </row>
    <row r="106" spans="1:24" s="75" customFormat="1" ht="25.65" customHeight="1">
      <c r="A106" s="218"/>
      <c r="B106" s="221"/>
      <c r="C106" s="222"/>
      <c r="D106" s="223"/>
      <c r="E106" s="223"/>
      <c r="F106" s="223"/>
      <c r="G106" s="224"/>
      <c r="H106" s="209"/>
      <c r="I106" s="209"/>
      <c r="J106" s="209"/>
      <c r="K106" s="171"/>
      <c r="L106" s="225"/>
      <c r="M106" s="225"/>
      <c r="N106" s="230"/>
      <c r="O106" s="228"/>
      <c r="P106" s="231"/>
      <c r="Q106" s="228"/>
      <c r="R106" s="231"/>
      <c r="S106" s="229"/>
      <c r="T106" s="229"/>
      <c r="U106" s="217"/>
      <c r="V106" s="217"/>
      <c r="W106" s="218"/>
      <c r="X106" s="220"/>
    </row>
    <row r="107" spans="1:24" s="75" customFormat="1" ht="25.65" customHeight="1">
      <c r="A107" s="218"/>
      <c r="B107" s="221"/>
      <c r="C107" s="222"/>
      <c r="D107" s="223"/>
      <c r="E107" s="223"/>
      <c r="F107" s="223"/>
      <c r="G107" s="224"/>
      <c r="H107" s="209"/>
      <c r="I107" s="209"/>
      <c r="J107" s="209"/>
      <c r="K107" s="171"/>
      <c r="L107" s="225"/>
      <c r="M107" s="225"/>
      <c r="N107" s="230"/>
      <c r="O107" s="228"/>
      <c r="P107" s="231"/>
      <c r="Q107" s="228"/>
      <c r="R107" s="231"/>
      <c r="S107" s="229"/>
      <c r="T107" s="229"/>
      <c r="U107" s="217"/>
      <c r="V107" s="217"/>
      <c r="W107" s="218"/>
      <c r="X107" s="220"/>
    </row>
    <row r="108" spans="1:24" s="75" customFormat="1" ht="25.65" customHeight="1">
      <c r="A108" s="218"/>
      <c r="B108" s="221"/>
      <c r="C108" s="222"/>
      <c r="D108" s="223"/>
      <c r="E108" s="223"/>
      <c r="F108" s="223"/>
      <c r="G108" s="224"/>
      <c r="H108" s="209"/>
      <c r="I108" s="209"/>
      <c r="J108" s="209"/>
      <c r="K108" s="171"/>
      <c r="L108" s="225"/>
      <c r="M108" s="225"/>
      <c r="N108" s="230"/>
      <c r="O108" s="228"/>
      <c r="P108" s="231"/>
      <c r="Q108" s="228"/>
      <c r="R108" s="231"/>
      <c r="S108" s="229"/>
      <c r="T108" s="229"/>
      <c r="U108" s="217"/>
      <c r="V108" s="217"/>
      <c r="W108" s="218"/>
      <c r="X108" s="220"/>
    </row>
    <row r="109" spans="1:24" s="75" customFormat="1" ht="25.65" customHeight="1">
      <c r="A109" s="218"/>
      <c r="B109" s="221"/>
      <c r="C109" s="222"/>
      <c r="D109" s="223"/>
      <c r="E109" s="223"/>
      <c r="F109" s="223"/>
      <c r="G109" s="224"/>
      <c r="H109" s="209"/>
      <c r="I109" s="209"/>
      <c r="J109" s="209"/>
      <c r="K109" s="171"/>
      <c r="L109" s="225"/>
      <c r="M109" s="225"/>
      <c r="N109" s="230"/>
      <c r="O109" s="228"/>
      <c r="P109" s="231"/>
      <c r="Q109" s="228"/>
      <c r="R109" s="231"/>
      <c r="S109" s="229"/>
      <c r="T109" s="229"/>
      <c r="U109" s="217"/>
      <c r="V109" s="217"/>
      <c r="W109" s="218"/>
      <c r="X109" s="220"/>
    </row>
    <row r="110" spans="1:24" s="75" customFormat="1" ht="25.65" customHeight="1">
      <c r="A110" s="218"/>
      <c r="B110" s="221"/>
      <c r="C110" s="222"/>
      <c r="D110" s="223"/>
      <c r="E110" s="223"/>
      <c r="F110" s="223"/>
      <c r="G110" s="224"/>
      <c r="H110" s="209"/>
      <c r="I110" s="209"/>
      <c r="J110" s="209"/>
      <c r="K110" s="171"/>
      <c r="L110" s="225"/>
      <c r="M110" s="225"/>
      <c r="N110" s="230"/>
      <c r="O110" s="228"/>
      <c r="P110" s="231"/>
      <c r="Q110" s="228"/>
      <c r="R110" s="231"/>
      <c r="S110" s="229"/>
      <c r="T110" s="229"/>
      <c r="U110" s="217"/>
      <c r="V110" s="217"/>
      <c r="W110" s="218"/>
      <c r="X110" s="220"/>
    </row>
    <row r="111" spans="1:24" s="75" customFormat="1" ht="25.65" customHeight="1">
      <c r="A111" s="218"/>
      <c r="B111" s="221"/>
      <c r="C111" s="222"/>
      <c r="D111" s="223"/>
      <c r="E111" s="223"/>
      <c r="F111" s="223"/>
      <c r="G111" s="224"/>
      <c r="H111" s="209"/>
      <c r="I111" s="209"/>
      <c r="J111" s="209"/>
      <c r="K111" s="171"/>
      <c r="L111" s="225"/>
      <c r="M111" s="225"/>
      <c r="N111" s="230"/>
      <c r="O111" s="228"/>
      <c r="P111" s="231"/>
      <c r="Q111" s="228"/>
      <c r="R111" s="231"/>
      <c r="S111" s="229"/>
      <c r="T111" s="229"/>
      <c r="U111" s="217"/>
      <c r="V111" s="217"/>
      <c r="W111" s="218"/>
      <c r="X111" s="220"/>
    </row>
    <row r="112" spans="1:24" s="75" customFormat="1" ht="25.65" customHeight="1">
      <c r="A112" s="218"/>
      <c r="B112" s="221"/>
      <c r="C112" s="222"/>
      <c r="D112" s="223"/>
      <c r="E112" s="223"/>
      <c r="F112" s="223"/>
      <c r="G112" s="224"/>
      <c r="H112" s="209"/>
      <c r="I112" s="209"/>
      <c r="J112" s="209"/>
      <c r="K112" s="171"/>
      <c r="L112" s="225"/>
      <c r="M112" s="225"/>
      <c r="N112" s="230"/>
      <c r="O112" s="228"/>
      <c r="P112" s="231"/>
      <c r="Q112" s="228"/>
      <c r="R112" s="231"/>
      <c r="S112" s="229"/>
      <c r="T112" s="229"/>
      <c r="U112" s="217"/>
      <c r="V112" s="217"/>
      <c r="W112" s="218"/>
      <c r="X112" s="220"/>
    </row>
    <row r="113" spans="1:24" s="75" customFormat="1" ht="25.65" customHeight="1">
      <c r="A113" s="218"/>
      <c r="B113" s="221"/>
      <c r="C113" s="222"/>
      <c r="D113" s="223"/>
      <c r="E113" s="223"/>
      <c r="F113" s="223"/>
      <c r="G113" s="224"/>
      <c r="H113" s="209"/>
      <c r="I113" s="209"/>
      <c r="J113" s="209"/>
      <c r="K113" s="171"/>
      <c r="L113" s="225"/>
      <c r="M113" s="225"/>
      <c r="N113" s="230"/>
      <c r="O113" s="228"/>
      <c r="P113" s="231"/>
      <c r="Q113" s="228"/>
      <c r="R113" s="231"/>
      <c r="S113" s="229"/>
      <c r="T113" s="229"/>
      <c r="U113" s="217"/>
      <c r="V113" s="217"/>
      <c r="W113" s="218"/>
      <c r="X113" s="220"/>
    </row>
    <row r="114" spans="1:24" s="75" customFormat="1" ht="25.65" customHeight="1">
      <c r="A114" s="218"/>
      <c r="B114" s="221"/>
      <c r="C114" s="222"/>
      <c r="D114" s="223"/>
      <c r="E114" s="223"/>
      <c r="F114" s="223"/>
      <c r="G114" s="224"/>
      <c r="H114" s="209"/>
      <c r="I114" s="209"/>
      <c r="J114" s="209"/>
      <c r="K114" s="171"/>
      <c r="L114" s="225"/>
      <c r="M114" s="225"/>
      <c r="N114" s="230"/>
      <c r="O114" s="228"/>
      <c r="P114" s="231"/>
      <c r="Q114" s="228"/>
      <c r="R114" s="231"/>
      <c r="S114" s="229"/>
      <c r="T114" s="229"/>
      <c r="U114" s="217"/>
      <c r="V114" s="217"/>
      <c r="W114" s="218"/>
      <c r="X114" s="220"/>
    </row>
    <row r="115" spans="1:24" s="75" customFormat="1" ht="25.65" customHeight="1">
      <c r="A115" s="218"/>
      <c r="B115" s="221"/>
      <c r="C115" s="222"/>
      <c r="D115" s="223"/>
      <c r="E115" s="223"/>
      <c r="F115" s="223"/>
      <c r="G115" s="224"/>
      <c r="H115" s="209"/>
      <c r="I115" s="209"/>
      <c r="J115" s="209"/>
      <c r="K115" s="171"/>
      <c r="L115" s="225"/>
      <c r="M115" s="225"/>
      <c r="N115" s="230"/>
      <c r="O115" s="228"/>
      <c r="P115" s="231"/>
      <c r="Q115" s="228"/>
      <c r="R115" s="231"/>
      <c r="S115" s="229"/>
      <c r="T115" s="229"/>
      <c r="U115" s="217"/>
      <c r="V115" s="217"/>
      <c r="W115" s="218"/>
      <c r="X115" s="220"/>
    </row>
    <row r="116" spans="1:24" s="75" customFormat="1" ht="25.65" customHeight="1">
      <c r="A116" s="218"/>
      <c r="B116" s="221"/>
      <c r="C116" s="222"/>
      <c r="D116" s="223"/>
      <c r="E116" s="223"/>
      <c r="F116" s="223"/>
      <c r="G116" s="224"/>
      <c r="H116" s="209"/>
      <c r="I116" s="209"/>
      <c r="J116" s="209"/>
      <c r="K116" s="171"/>
      <c r="L116" s="225"/>
      <c r="M116" s="225"/>
      <c r="N116" s="230"/>
      <c r="O116" s="228"/>
      <c r="P116" s="231"/>
      <c r="Q116" s="228"/>
      <c r="R116" s="231"/>
      <c r="S116" s="229"/>
      <c r="T116" s="229"/>
      <c r="U116" s="217"/>
      <c r="V116" s="217"/>
      <c r="W116" s="218"/>
      <c r="X116" s="220"/>
    </row>
    <row r="117" spans="1:24" s="75" customFormat="1" ht="25.65" customHeight="1">
      <c r="A117" s="218"/>
      <c r="B117" s="221"/>
      <c r="C117" s="222"/>
      <c r="D117" s="223"/>
      <c r="E117" s="223"/>
      <c r="F117" s="223"/>
      <c r="G117" s="224"/>
      <c r="H117" s="209"/>
      <c r="I117" s="209"/>
      <c r="J117" s="209"/>
      <c r="K117" s="171"/>
      <c r="L117" s="225"/>
      <c r="M117" s="225"/>
      <c r="N117" s="230"/>
      <c r="O117" s="228"/>
      <c r="P117" s="231"/>
      <c r="Q117" s="228"/>
      <c r="R117" s="231"/>
      <c r="S117" s="229"/>
      <c r="T117" s="229"/>
      <c r="U117" s="217"/>
      <c r="V117" s="217"/>
      <c r="W117" s="218"/>
      <c r="X117" s="220"/>
    </row>
    <row r="118" spans="1:24" s="75" customFormat="1" ht="25.65" customHeight="1">
      <c r="A118" s="218"/>
      <c r="B118" s="221"/>
      <c r="C118" s="222"/>
      <c r="D118" s="223"/>
      <c r="E118" s="223"/>
      <c r="F118" s="223"/>
      <c r="G118" s="224"/>
      <c r="H118" s="209"/>
      <c r="I118" s="209"/>
      <c r="J118" s="209"/>
      <c r="K118" s="171"/>
      <c r="L118" s="225"/>
      <c r="M118" s="225"/>
      <c r="N118" s="230"/>
      <c r="O118" s="228"/>
      <c r="P118" s="231"/>
      <c r="Q118" s="228"/>
      <c r="R118" s="231"/>
      <c r="S118" s="229"/>
      <c r="T118" s="229"/>
      <c r="U118" s="217"/>
      <c r="V118" s="217"/>
      <c r="W118" s="218"/>
      <c r="X118" s="220"/>
    </row>
    <row r="119" spans="1:24" s="75" customFormat="1" ht="25.65" customHeight="1">
      <c r="A119" s="218"/>
      <c r="B119" s="221"/>
      <c r="C119" s="222"/>
      <c r="D119" s="223"/>
      <c r="E119" s="223"/>
      <c r="F119" s="223"/>
      <c r="G119" s="224"/>
      <c r="H119" s="209"/>
      <c r="I119" s="209"/>
      <c r="J119" s="209"/>
      <c r="K119" s="171"/>
      <c r="L119" s="225"/>
      <c r="M119" s="225"/>
      <c r="N119" s="230"/>
      <c r="O119" s="228"/>
      <c r="P119" s="231"/>
      <c r="Q119" s="228"/>
      <c r="R119" s="231"/>
      <c r="S119" s="229"/>
      <c r="T119" s="229"/>
      <c r="U119" s="217"/>
      <c r="V119" s="217"/>
      <c r="W119" s="218"/>
      <c r="X119" s="220"/>
    </row>
    <row r="120" spans="1:24" s="75" customFormat="1" ht="25.65" customHeight="1">
      <c r="A120" s="218"/>
      <c r="B120" s="221"/>
      <c r="C120" s="222"/>
      <c r="D120" s="223"/>
      <c r="E120" s="223"/>
      <c r="F120" s="223"/>
      <c r="G120" s="224"/>
      <c r="H120" s="209"/>
      <c r="I120" s="209"/>
      <c r="J120" s="209"/>
      <c r="K120" s="171"/>
      <c r="L120" s="225"/>
      <c r="M120" s="225"/>
      <c r="N120" s="230"/>
      <c r="O120" s="228"/>
      <c r="P120" s="231"/>
      <c r="Q120" s="228"/>
      <c r="R120" s="231"/>
      <c r="S120" s="229"/>
      <c r="T120" s="229"/>
      <c r="U120" s="217"/>
      <c r="V120" s="217"/>
      <c r="W120" s="218"/>
      <c r="X120" s="220"/>
    </row>
    <row r="121" spans="1:24" s="75" customFormat="1" ht="25.65" customHeight="1">
      <c r="A121" s="218"/>
      <c r="B121" s="221"/>
      <c r="C121" s="222"/>
      <c r="D121" s="223"/>
      <c r="E121" s="223"/>
      <c r="F121" s="223"/>
      <c r="G121" s="224"/>
      <c r="H121" s="209"/>
      <c r="I121" s="209"/>
      <c r="J121" s="209"/>
      <c r="K121" s="171"/>
      <c r="L121" s="225"/>
      <c r="M121" s="225"/>
      <c r="N121" s="230"/>
      <c r="O121" s="228"/>
      <c r="P121" s="231"/>
      <c r="Q121" s="228"/>
      <c r="R121" s="231"/>
      <c r="S121" s="229"/>
      <c r="T121" s="229"/>
      <c r="U121" s="217"/>
      <c r="V121" s="217"/>
      <c r="W121" s="218"/>
      <c r="X121" s="220"/>
    </row>
    <row r="122" spans="1:24" s="75" customFormat="1" ht="25.65" customHeight="1">
      <c r="A122" s="218"/>
      <c r="B122" s="221"/>
      <c r="C122" s="222"/>
      <c r="D122" s="223"/>
      <c r="E122" s="223"/>
      <c r="F122" s="223"/>
      <c r="G122" s="224"/>
      <c r="H122" s="209"/>
      <c r="I122" s="209"/>
      <c r="J122" s="209"/>
      <c r="K122" s="171"/>
      <c r="L122" s="225"/>
      <c r="M122" s="225"/>
      <c r="N122" s="230"/>
      <c r="O122" s="228"/>
      <c r="P122" s="231"/>
      <c r="Q122" s="228"/>
      <c r="R122" s="231"/>
      <c r="S122" s="229"/>
      <c r="T122" s="229"/>
      <c r="U122" s="217"/>
      <c r="V122" s="217"/>
      <c r="W122" s="218"/>
      <c r="X122" s="220"/>
    </row>
    <row r="123" spans="1:24" s="75" customFormat="1" ht="25.65" customHeight="1">
      <c r="A123" s="218"/>
      <c r="B123" s="221"/>
      <c r="C123" s="222"/>
      <c r="D123" s="223"/>
      <c r="E123" s="223"/>
      <c r="F123" s="223"/>
      <c r="G123" s="224"/>
      <c r="H123" s="209"/>
      <c r="I123" s="209"/>
      <c r="J123" s="209"/>
      <c r="K123" s="171"/>
      <c r="L123" s="225"/>
      <c r="M123" s="225"/>
      <c r="N123" s="230"/>
      <c r="O123" s="228"/>
      <c r="P123" s="231"/>
      <c r="Q123" s="228"/>
      <c r="R123" s="231"/>
      <c r="S123" s="229"/>
      <c r="T123" s="229"/>
      <c r="U123" s="217"/>
      <c r="V123" s="217"/>
      <c r="W123" s="218"/>
      <c r="X123" s="220"/>
    </row>
    <row r="124" spans="1:24" s="75" customFormat="1" ht="25.65" customHeight="1">
      <c r="A124" s="218"/>
      <c r="B124" s="221"/>
      <c r="C124" s="222"/>
      <c r="D124" s="223"/>
      <c r="E124" s="223"/>
      <c r="F124" s="223"/>
      <c r="G124" s="224"/>
      <c r="H124" s="209"/>
      <c r="I124" s="209"/>
      <c r="J124" s="209"/>
      <c r="K124" s="171"/>
      <c r="L124" s="225"/>
      <c r="M124" s="225"/>
      <c r="N124" s="230"/>
      <c r="O124" s="228"/>
      <c r="P124" s="231"/>
      <c r="Q124" s="228"/>
      <c r="R124" s="231"/>
      <c r="S124" s="229"/>
      <c r="T124" s="229"/>
      <c r="U124" s="217"/>
      <c r="V124" s="217"/>
      <c r="W124" s="218"/>
      <c r="X124" s="220"/>
    </row>
    <row r="125" spans="1:24" s="75" customFormat="1" ht="25.65" customHeight="1">
      <c r="A125" s="218"/>
      <c r="B125" s="221"/>
      <c r="C125" s="222"/>
      <c r="D125" s="223"/>
      <c r="E125" s="223"/>
      <c r="F125" s="223"/>
      <c r="G125" s="224"/>
      <c r="H125" s="209"/>
      <c r="I125" s="209"/>
      <c r="J125" s="209"/>
      <c r="K125" s="171"/>
      <c r="L125" s="225"/>
      <c r="M125" s="225"/>
      <c r="N125" s="230"/>
      <c r="O125" s="228"/>
      <c r="P125" s="231"/>
      <c r="Q125" s="228"/>
      <c r="R125" s="231"/>
      <c r="S125" s="229"/>
      <c r="T125" s="229"/>
      <c r="U125" s="217"/>
      <c r="V125" s="217"/>
      <c r="W125" s="218"/>
      <c r="X125" s="220"/>
    </row>
    <row r="126" spans="1:24" s="75" customFormat="1" ht="25.65" customHeight="1">
      <c r="A126" s="218"/>
      <c r="B126" s="221"/>
      <c r="C126" s="222"/>
      <c r="D126" s="223"/>
      <c r="E126" s="223"/>
      <c r="F126" s="223"/>
      <c r="G126" s="224"/>
      <c r="H126" s="209"/>
      <c r="I126" s="209"/>
      <c r="J126" s="209"/>
      <c r="K126" s="171"/>
      <c r="L126" s="225"/>
      <c r="M126" s="225"/>
      <c r="N126" s="230"/>
      <c r="O126" s="228"/>
      <c r="P126" s="231"/>
      <c r="Q126" s="228"/>
      <c r="R126" s="231"/>
      <c r="S126" s="229"/>
      <c r="T126" s="229"/>
      <c r="U126" s="217"/>
      <c r="V126" s="217"/>
      <c r="W126" s="218"/>
      <c r="X126" s="220"/>
    </row>
    <row r="127" spans="1:24" s="75" customFormat="1" ht="25.65" customHeight="1">
      <c r="A127" s="218"/>
      <c r="B127" s="221"/>
      <c r="C127" s="222"/>
      <c r="D127" s="223"/>
      <c r="E127" s="223"/>
      <c r="F127" s="223"/>
      <c r="G127" s="224"/>
      <c r="H127" s="209"/>
      <c r="I127" s="209"/>
      <c r="J127" s="209"/>
      <c r="K127" s="171"/>
      <c r="L127" s="225"/>
      <c r="M127" s="225"/>
      <c r="N127" s="230"/>
      <c r="O127" s="228"/>
      <c r="P127" s="231"/>
      <c r="Q127" s="228"/>
      <c r="R127" s="231"/>
      <c r="S127" s="229"/>
      <c r="T127" s="229"/>
      <c r="U127" s="217"/>
      <c r="V127" s="217"/>
      <c r="W127" s="218"/>
      <c r="X127" s="220"/>
    </row>
    <row r="128" spans="1:24" s="75" customFormat="1" ht="25.65" customHeight="1">
      <c r="A128" s="218"/>
      <c r="B128" s="221"/>
      <c r="C128" s="222"/>
      <c r="D128" s="223"/>
      <c r="E128" s="223"/>
      <c r="F128" s="223"/>
      <c r="G128" s="224"/>
      <c r="H128" s="209"/>
      <c r="I128" s="209"/>
      <c r="J128" s="209"/>
      <c r="K128" s="171"/>
      <c r="L128" s="225"/>
      <c r="M128" s="225"/>
      <c r="N128" s="230"/>
      <c r="O128" s="228"/>
      <c r="P128" s="231"/>
      <c r="Q128" s="228"/>
      <c r="R128" s="231"/>
      <c r="S128" s="229"/>
      <c r="T128" s="229"/>
      <c r="U128" s="217"/>
      <c r="V128" s="217"/>
      <c r="W128" s="218"/>
      <c r="X128" s="220"/>
    </row>
    <row r="129" spans="1:24" s="75" customFormat="1" ht="25.65" customHeight="1">
      <c r="A129" s="218"/>
      <c r="B129" s="221"/>
      <c r="C129" s="222"/>
      <c r="D129" s="223"/>
      <c r="E129" s="223"/>
      <c r="F129" s="223"/>
      <c r="G129" s="224"/>
      <c r="H129" s="209"/>
      <c r="I129" s="209"/>
      <c r="J129" s="209"/>
      <c r="K129" s="171"/>
      <c r="L129" s="225"/>
      <c r="M129" s="225"/>
      <c r="N129" s="230"/>
      <c r="O129" s="228"/>
      <c r="P129" s="231"/>
      <c r="Q129" s="228"/>
      <c r="R129" s="231"/>
      <c r="S129" s="229"/>
      <c r="T129" s="229"/>
      <c r="U129" s="217"/>
      <c r="V129" s="217"/>
      <c r="W129" s="218"/>
      <c r="X129" s="220"/>
    </row>
    <row r="130" spans="1:24" s="75" customFormat="1" ht="25.65" customHeight="1">
      <c r="A130" s="218"/>
      <c r="B130" s="221"/>
      <c r="C130" s="222"/>
      <c r="D130" s="223"/>
      <c r="E130" s="223"/>
      <c r="F130" s="223"/>
      <c r="G130" s="224"/>
      <c r="H130" s="209"/>
      <c r="I130" s="209"/>
      <c r="J130" s="209"/>
      <c r="K130" s="171"/>
      <c r="L130" s="225"/>
      <c r="M130" s="225"/>
      <c r="N130" s="230"/>
      <c r="O130" s="228"/>
      <c r="P130" s="231"/>
      <c r="Q130" s="228"/>
      <c r="R130" s="231"/>
      <c r="S130" s="229"/>
      <c r="T130" s="229"/>
      <c r="U130" s="217"/>
      <c r="V130" s="217"/>
      <c r="W130" s="218"/>
      <c r="X130" s="220"/>
    </row>
    <row r="131" spans="1:24" s="75" customFormat="1" ht="25.65" customHeight="1">
      <c r="A131" s="218"/>
      <c r="B131" s="221"/>
      <c r="C131" s="222"/>
      <c r="D131" s="223"/>
      <c r="E131" s="223"/>
      <c r="F131" s="223"/>
      <c r="G131" s="224"/>
      <c r="H131" s="209"/>
      <c r="I131" s="209"/>
      <c r="J131" s="209"/>
      <c r="K131" s="171"/>
      <c r="L131" s="225"/>
      <c r="M131" s="225"/>
      <c r="N131" s="230"/>
      <c r="O131" s="228"/>
      <c r="P131" s="231"/>
      <c r="Q131" s="228"/>
      <c r="R131" s="231"/>
      <c r="S131" s="229"/>
      <c r="T131" s="229"/>
      <c r="U131" s="217"/>
      <c r="V131" s="217"/>
      <c r="W131" s="218"/>
      <c r="X131" s="220"/>
    </row>
    <row r="132" spans="1:24" s="75" customFormat="1" ht="25.65" customHeight="1">
      <c r="A132" s="218"/>
      <c r="B132" s="221"/>
      <c r="C132" s="222"/>
      <c r="D132" s="223"/>
      <c r="E132" s="223"/>
      <c r="F132" s="223"/>
      <c r="G132" s="224"/>
      <c r="H132" s="209"/>
      <c r="I132" s="209"/>
      <c r="J132" s="209"/>
      <c r="K132" s="171"/>
      <c r="L132" s="225"/>
      <c r="M132" s="225"/>
      <c r="N132" s="230"/>
      <c r="O132" s="228"/>
      <c r="P132" s="231"/>
      <c r="Q132" s="228"/>
      <c r="R132" s="231"/>
      <c r="S132" s="229"/>
      <c r="T132" s="229"/>
      <c r="U132" s="217"/>
      <c r="V132" s="217"/>
      <c r="W132" s="218"/>
      <c r="X132" s="220"/>
    </row>
    <row r="133" spans="1:24" s="75" customFormat="1" ht="25.65" customHeight="1">
      <c r="A133" s="218"/>
      <c r="B133" s="221"/>
      <c r="C133" s="222"/>
      <c r="D133" s="223"/>
      <c r="E133" s="223"/>
      <c r="F133" s="223"/>
      <c r="G133" s="224"/>
      <c r="H133" s="209"/>
      <c r="I133" s="209"/>
      <c r="J133" s="209"/>
      <c r="K133" s="171"/>
      <c r="L133" s="225"/>
      <c r="M133" s="225"/>
      <c r="N133" s="230"/>
      <c r="O133" s="228"/>
      <c r="P133" s="231"/>
      <c r="Q133" s="228"/>
      <c r="R133" s="231"/>
      <c r="S133" s="229"/>
      <c r="T133" s="229"/>
      <c r="U133" s="217"/>
      <c r="V133" s="217"/>
      <c r="W133" s="218"/>
      <c r="X133" s="220"/>
    </row>
    <row r="134" spans="1:24" s="75" customFormat="1" ht="25.65" customHeight="1">
      <c r="A134" s="218"/>
      <c r="B134" s="221"/>
      <c r="C134" s="222"/>
      <c r="D134" s="223"/>
      <c r="E134" s="223"/>
      <c r="F134" s="223"/>
      <c r="G134" s="224"/>
      <c r="H134" s="209"/>
      <c r="I134" s="209"/>
      <c r="J134" s="209"/>
      <c r="K134" s="171"/>
      <c r="L134" s="225"/>
      <c r="M134" s="225"/>
      <c r="N134" s="230"/>
      <c r="O134" s="228"/>
      <c r="P134" s="231"/>
      <c r="Q134" s="228"/>
      <c r="R134" s="231"/>
      <c r="S134" s="229"/>
      <c r="T134" s="229"/>
      <c r="U134" s="217"/>
      <c r="V134" s="217"/>
      <c r="W134" s="218"/>
      <c r="X134" s="220"/>
    </row>
    <row r="135" spans="1:24" s="75" customFormat="1" ht="25.65" customHeight="1">
      <c r="A135" s="218"/>
      <c r="B135" s="221"/>
      <c r="C135" s="222"/>
      <c r="D135" s="223"/>
      <c r="E135" s="223"/>
      <c r="F135" s="223"/>
      <c r="G135" s="224"/>
      <c r="H135" s="209"/>
      <c r="I135" s="209"/>
      <c r="J135" s="209"/>
      <c r="K135" s="171"/>
      <c r="L135" s="225"/>
      <c r="M135" s="225"/>
      <c r="N135" s="230"/>
      <c r="O135" s="228"/>
      <c r="P135" s="231"/>
      <c r="Q135" s="228"/>
      <c r="R135" s="231"/>
      <c r="S135" s="229"/>
      <c r="T135" s="229"/>
      <c r="U135" s="217"/>
      <c r="V135" s="217"/>
      <c r="W135" s="218"/>
      <c r="X135" s="220"/>
    </row>
    <row r="136" spans="1:24" s="75" customFormat="1" ht="25.65" customHeight="1">
      <c r="A136" s="218"/>
      <c r="B136" s="221"/>
      <c r="C136" s="222"/>
      <c r="D136" s="223"/>
      <c r="E136" s="223"/>
      <c r="F136" s="223"/>
      <c r="G136" s="224"/>
      <c r="H136" s="209"/>
      <c r="I136" s="209"/>
      <c r="J136" s="209"/>
      <c r="K136" s="171"/>
      <c r="L136" s="225"/>
      <c r="M136" s="225"/>
      <c r="N136" s="230"/>
      <c r="O136" s="228"/>
      <c r="P136" s="231"/>
      <c r="Q136" s="228"/>
      <c r="R136" s="231"/>
      <c r="S136" s="229"/>
      <c r="T136" s="229"/>
      <c r="U136" s="217"/>
      <c r="V136" s="217"/>
      <c r="W136" s="218"/>
      <c r="X136" s="220"/>
    </row>
    <row r="137" spans="1:24" s="75" customFormat="1" ht="25.65" customHeight="1">
      <c r="A137" s="218"/>
      <c r="B137" s="221"/>
      <c r="C137" s="222"/>
      <c r="D137" s="223"/>
      <c r="E137" s="223"/>
      <c r="F137" s="223"/>
      <c r="G137" s="224"/>
      <c r="H137" s="209"/>
      <c r="I137" s="209"/>
      <c r="J137" s="209"/>
      <c r="K137" s="171"/>
      <c r="L137" s="225"/>
      <c r="M137" s="225"/>
      <c r="N137" s="230"/>
      <c r="O137" s="228"/>
      <c r="P137" s="231"/>
      <c r="Q137" s="228"/>
      <c r="R137" s="231"/>
      <c r="S137" s="229"/>
      <c r="T137" s="229"/>
      <c r="U137" s="217"/>
      <c r="V137" s="217"/>
      <c r="W137" s="218"/>
      <c r="X137" s="220"/>
    </row>
    <row r="138" spans="1:24" s="75" customFormat="1" ht="25.65" customHeight="1">
      <c r="A138" s="218"/>
      <c r="B138" s="221"/>
      <c r="C138" s="222"/>
      <c r="D138" s="223"/>
      <c r="E138" s="223"/>
      <c r="F138" s="223"/>
      <c r="G138" s="224"/>
      <c r="H138" s="209"/>
      <c r="I138" s="209"/>
      <c r="J138" s="209"/>
      <c r="K138" s="171"/>
      <c r="L138" s="225"/>
      <c r="M138" s="225"/>
      <c r="N138" s="230"/>
      <c r="O138" s="228"/>
      <c r="P138" s="231"/>
      <c r="Q138" s="228"/>
      <c r="R138" s="231"/>
      <c r="S138" s="229"/>
      <c r="T138" s="229"/>
      <c r="U138" s="217"/>
      <c r="V138" s="217"/>
      <c r="W138" s="218"/>
      <c r="X138" s="220"/>
    </row>
    <row r="139" spans="1:24" s="75" customFormat="1" ht="25.65" customHeight="1">
      <c r="A139" s="218"/>
      <c r="B139" s="221"/>
      <c r="C139" s="222"/>
      <c r="D139" s="223"/>
      <c r="E139" s="223"/>
      <c r="F139" s="223"/>
      <c r="G139" s="224"/>
      <c r="H139" s="209"/>
      <c r="I139" s="209"/>
      <c r="J139" s="209"/>
      <c r="K139" s="171"/>
      <c r="L139" s="225"/>
      <c r="M139" s="225"/>
      <c r="N139" s="230"/>
      <c r="O139" s="228"/>
      <c r="P139" s="231"/>
      <c r="Q139" s="228"/>
      <c r="R139" s="231"/>
      <c r="S139" s="229"/>
      <c r="T139" s="229"/>
      <c r="U139" s="217"/>
      <c r="V139" s="217"/>
      <c r="W139" s="218"/>
      <c r="X139" s="220"/>
    </row>
    <row r="140" spans="1:24" s="75" customFormat="1" ht="25.65" customHeight="1">
      <c r="A140" s="218"/>
      <c r="B140" s="221"/>
      <c r="C140" s="222"/>
      <c r="D140" s="223"/>
      <c r="E140" s="223"/>
      <c r="F140" s="223"/>
      <c r="G140" s="224"/>
      <c r="H140" s="209"/>
      <c r="I140" s="209"/>
      <c r="J140" s="209"/>
      <c r="K140" s="171"/>
      <c r="L140" s="225"/>
      <c r="M140" s="225"/>
      <c r="N140" s="230"/>
      <c r="O140" s="228"/>
      <c r="P140" s="231"/>
      <c r="Q140" s="228"/>
      <c r="R140" s="231"/>
      <c r="S140" s="229"/>
      <c r="T140" s="229"/>
      <c r="U140" s="217"/>
      <c r="V140" s="217"/>
      <c r="W140" s="218"/>
      <c r="X140" s="220"/>
    </row>
    <row r="141" spans="1:24" s="75" customFormat="1" ht="25.65" customHeight="1">
      <c r="A141" s="218"/>
      <c r="B141" s="221"/>
      <c r="C141" s="222"/>
      <c r="D141" s="223"/>
      <c r="E141" s="223"/>
      <c r="F141" s="223"/>
      <c r="G141" s="224"/>
      <c r="H141" s="209"/>
      <c r="I141" s="209"/>
      <c r="J141" s="209"/>
      <c r="K141" s="171"/>
      <c r="L141" s="225"/>
      <c r="M141" s="225"/>
      <c r="N141" s="230"/>
      <c r="O141" s="228"/>
      <c r="P141" s="231"/>
      <c r="Q141" s="228"/>
      <c r="R141" s="231"/>
      <c r="S141" s="229"/>
      <c r="T141" s="229"/>
      <c r="U141" s="217"/>
      <c r="V141" s="217"/>
      <c r="W141" s="218"/>
      <c r="X141" s="220"/>
    </row>
    <row r="142" spans="1:24" s="75" customFormat="1" ht="25.65" customHeight="1">
      <c r="A142" s="218"/>
      <c r="B142" s="221"/>
      <c r="C142" s="222"/>
      <c r="D142" s="223"/>
      <c r="E142" s="223"/>
      <c r="F142" s="223"/>
      <c r="G142" s="224"/>
      <c r="H142" s="209"/>
      <c r="I142" s="209"/>
      <c r="J142" s="209"/>
      <c r="K142" s="171"/>
      <c r="L142" s="225"/>
      <c r="M142" s="225"/>
      <c r="N142" s="230"/>
      <c r="O142" s="228"/>
      <c r="P142" s="231"/>
      <c r="Q142" s="228"/>
      <c r="R142" s="231"/>
      <c r="S142" s="229"/>
      <c r="T142" s="229"/>
      <c r="U142" s="217"/>
      <c r="V142" s="217"/>
      <c r="W142" s="218"/>
      <c r="X142" s="220"/>
    </row>
    <row r="143" spans="1:24" s="75" customFormat="1" ht="25.65" customHeight="1">
      <c r="A143" s="218"/>
      <c r="B143" s="221"/>
      <c r="C143" s="222"/>
      <c r="D143" s="223"/>
      <c r="E143" s="223"/>
      <c r="F143" s="223"/>
      <c r="G143" s="224"/>
      <c r="H143" s="209"/>
      <c r="I143" s="209"/>
      <c r="J143" s="209"/>
      <c r="K143" s="171"/>
      <c r="L143" s="225"/>
      <c r="M143" s="225"/>
      <c r="N143" s="230"/>
      <c r="O143" s="228"/>
      <c r="P143" s="231"/>
      <c r="Q143" s="228"/>
      <c r="R143" s="231"/>
      <c r="S143" s="229"/>
      <c r="T143" s="229"/>
      <c r="U143" s="217"/>
      <c r="V143" s="217"/>
      <c r="W143" s="218"/>
      <c r="X143" s="220"/>
    </row>
    <row r="144" spans="1:24" s="75" customFormat="1" ht="25.65" customHeight="1">
      <c r="A144" s="218"/>
      <c r="B144" s="221"/>
      <c r="C144" s="222"/>
      <c r="D144" s="223"/>
      <c r="E144" s="223"/>
      <c r="F144" s="223"/>
      <c r="G144" s="224"/>
      <c r="H144" s="209"/>
      <c r="I144" s="209"/>
      <c r="J144" s="209"/>
      <c r="K144" s="171"/>
      <c r="L144" s="225"/>
      <c r="M144" s="225"/>
      <c r="N144" s="230"/>
      <c r="O144" s="228"/>
      <c r="P144" s="231"/>
      <c r="Q144" s="228"/>
      <c r="R144" s="231"/>
      <c r="S144" s="229"/>
      <c r="T144" s="229"/>
      <c r="U144" s="217"/>
      <c r="V144" s="217"/>
      <c r="W144" s="218"/>
      <c r="X144" s="220"/>
    </row>
    <row r="145" spans="1:24" s="75" customFormat="1" ht="25.65" customHeight="1">
      <c r="A145" s="218"/>
      <c r="B145" s="221"/>
      <c r="C145" s="222"/>
      <c r="D145" s="223"/>
      <c r="E145" s="223"/>
      <c r="F145" s="223"/>
      <c r="G145" s="224"/>
      <c r="H145" s="209"/>
      <c r="I145" s="209"/>
      <c r="J145" s="209"/>
      <c r="K145" s="171"/>
      <c r="L145" s="225"/>
      <c r="M145" s="225"/>
      <c r="N145" s="230"/>
      <c r="O145" s="228"/>
      <c r="P145" s="231"/>
      <c r="Q145" s="228"/>
      <c r="R145" s="231"/>
      <c r="S145" s="229"/>
      <c r="T145" s="229"/>
      <c r="U145" s="217"/>
      <c r="V145" s="217"/>
      <c r="W145" s="218"/>
      <c r="X145" s="220"/>
    </row>
    <row r="146" spans="1:24" s="75" customFormat="1" ht="25.65" customHeight="1">
      <c r="A146" s="218"/>
      <c r="B146" s="221"/>
      <c r="C146" s="222"/>
      <c r="D146" s="223"/>
      <c r="E146" s="223"/>
      <c r="F146" s="223"/>
      <c r="G146" s="224"/>
      <c r="H146" s="209"/>
      <c r="I146" s="209"/>
      <c r="J146" s="209"/>
      <c r="K146" s="171"/>
      <c r="L146" s="225"/>
      <c r="M146" s="225"/>
      <c r="N146" s="230"/>
      <c r="O146" s="228"/>
      <c r="P146" s="231"/>
      <c r="Q146" s="228"/>
      <c r="R146" s="231"/>
      <c r="S146" s="229"/>
      <c r="T146" s="229"/>
      <c r="U146" s="217"/>
      <c r="V146" s="217"/>
      <c r="W146" s="218"/>
      <c r="X146" s="220"/>
    </row>
    <row r="147" spans="1:24" s="75" customFormat="1" ht="25.65" customHeight="1">
      <c r="A147" s="218"/>
      <c r="B147" s="221"/>
      <c r="C147" s="222"/>
      <c r="D147" s="223"/>
      <c r="E147" s="223"/>
      <c r="F147" s="223"/>
      <c r="G147" s="224"/>
      <c r="H147" s="209"/>
      <c r="I147" s="209"/>
      <c r="J147" s="209"/>
      <c r="K147" s="171"/>
      <c r="L147" s="225"/>
      <c r="M147" s="225"/>
      <c r="N147" s="230"/>
      <c r="O147" s="228"/>
      <c r="P147" s="231"/>
      <c r="Q147" s="228"/>
      <c r="R147" s="231"/>
      <c r="S147" s="229"/>
      <c r="T147" s="229"/>
      <c r="U147" s="217"/>
      <c r="V147" s="217"/>
      <c r="W147" s="218"/>
      <c r="X147" s="220"/>
    </row>
    <row r="148" spans="1:24" s="75" customFormat="1" ht="25.65" customHeight="1">
      <c r="A148" s="218"/>
      <c r="B148" s="221"/>
      <c r="C148" s="222"/>
      <c r="D148" s="223"/>
      <c r="E148" s="223"/>
      <c r="F148" s="223"/>
      <c r="G148" s="224"/>
      <c r="H148" s="209"/>
      <c r="I148" s="209"/>
      <c r="J148" s="209"/>
      <c r="K148" s="171"/>
      <c r="L148" s="225"/>
      <c r="M148" s="225"/>
      <c r="N148" s="230"/>
      <c r="O148" s="228"/>
      <c r="P148" s="231"/>
      <c r="Q148" s="228"/>
      <c r="R148" s="231"/>
      <c r="S148" s="229"/>
      <c r="T148" s="229"/>
      <c r="U148" s="217"/>
      <c r="V148" s="217"/>
      <c r="W148" s="218"/>
      <c r="X148" s="220"/>
    </row>
    <row r="149" spans="1:24" s="75" customFormat="1" ht="25.65" customHeight="1">
      <c r="A149" s="218"/>
      <c r="B149" s="221"/>
      <c r="C149" s="222"/>
      <c r="D149" s="223"/>
      <c r="E149" s="223"/>
      <c r="F149" s="223"/>
      <c r="G149" s="224"/>
      <c r="H149" s="209"/>
      <c r="I149" s="209"/>
      <c r="J149" s="209"/>
      <c r="K149" s="171"/>
      <c r="L149" s="225"/>
      <c r="M149" s="225"/>
      <c r="N149" s="230"/>
      <c r="O149" s="228"/>
      <c r="P149" s="231"/>
      <c r="Q149" s="228"/>
      <c r="R149" s="231"/>
      <c r="S149" s="229"/>
      <c r="T149" s="229"/>
      <c r="U149" s="217"/>
      <c r="V149" s="217"/>
      <c r="W149" s="218"/>
      <c r="X149" s="220"/>
    </row>
    <row r="150" spans="1:24" s="75" customFormat="1" ht="25.65" customHeight="1">
      <c r="A150" s="218"/>
      <c r="B150" s="221"/>
      <c r="C150" s="222"/>
      <c r="D150" s="223"/>
      <c r="E150" s="223"/>
      <c r="F150" s="223"/>
      <c r="G150" s="224"/>
      <c r="H150" s="209"/>
      <c r="I150" s="209"/>
      <c r="J150" s="209"/>
      <c r="K150" s="171"/>
      <c r="L150" s="225"/>
      <c r="M150" s="225"/>
      <c r="N150" s="230"/>
      <c r="O150" s="228"/>
      <c r="P150" s="231"/>
      <c r="Q150" s="228"/>
      <c r="R150" s="231"/>
      <c r="S150" s="229"/>
      <c r="T150" s="229"/>
      <c r="U150" s="217"/>
      <c r="V150" s="217"/>
      <c r="W150" s="218"/>
      <c r="X150" s="220"/>
    </row>
    <row r="151" spans="1:24" s="75" customFormat="1" ht="25.65" customHeight="1">
      <c r="A151" s="218"/>
      <c r="B151" s="221"/>
      <c r="C151" s="222"/>
      <c r="D151" s="223"/>
      <c r="E151" s="223"/>
      <c r="F151" s="223"/>
      <c r="G151" s="224"/>
      <c r="H151" s="209"/>
      <c r="I151" s="209"/>
      <c r="J151" s="209"/>
      <c r="K151" s="171"/>
      <c r="L151" s="225"/>
      <c r="M151" s="225"/>
      <c r="N151" s="230"/>
      <c r="O151" s="228"/>
      <c r="P151" s="231"/>
      <c r="Q151" s="228"/>
      <c r="R151" s="231"/>
      <c r="S151" s="229"/>
      <c r="T151" s="229"/>
      <c r="U151" s="217"/>
      <c r="V151" s="217"/>
      <c r="W151" s="218"/>
      <c r="X151" s="220"/>
    </row>
    <row r="152" spans="1:24" s="75" customFormat="1" ht="25.65" customHeight="1">
      <c r="A152" s="218"/>
      <c r="B152" s="221"/>
      <c r="C152" s="222"/>
      <c r="D152" s="223"/>
      <c r="E152" s="223"/>
      <c r="F152" s="223"/>
      <c r="G152" s="224"/>
      <c r="H152" s="209"/>
      <c r="I152" s="209"/>
      <c r="J152" s="209"/>
      <c r="K152" s="171"/>
      <c r="L152" s="225"/>
      <c r="M152" s="225"/>
      <c r="N152" s="230"/>
      <c r="O152" s="228"/>
      <c r="P152" s="231"/>
      <c r="Q152" s="228"/>
      <c r="R152" s="231"/>
      <c r="S152" s="229"/>
      <c r="T152" s="229"/>
      <c r="U152" s="217"/>
      <c r="V152" s="217"/>
      <c r="W152" s="218"/>
      <c r="X152" s="220"/>
    </row>
    <row r="153" spans="1:24" s="75" customFormat="1" ht="25.65" customHeight="1">
      <c r="A153" s="218"/>
      <c r="B153" s="221"/>
      <c r="C153" s="222"/>
      <c r="D153" s="223"/>
      <c r="E153" s="223"/>
      <c r="F153" s="223"/>
      <c r="G153" s="224"/>
      <c r="H153" s="209"/>
      <c r="I153" s="209"/>
      <c r="J153" s="209"/>
      <c r="K153" s="171"/>
      <c r="L153" s="225"/>
      <c r="M153" s="225"/>
      <c r="N153" s="230"/>
      <c r="O153" s="228"/>
      <c r="P153" s="231"/>
      <c r="Q153" s="228"/>
      <c r="R153" s="231"/>
      <c r="S153" s="229"/>
      <c r="T153" s="229"/>
      <c r="U153" s="217"/>
      <c r="V153" s="217"/>
      <c r="W153" s="218"/>
      <c r="X153" s="220"/>
    </row>
    <row r="154" spans="1:24" s="75" customFormat="1" ht="25.65" customHeight="1">
      <c r="A154" s="218"/>
      <c r="B154" s="221"/>
      <c r="C154" s="222"/>
      <c r="D154" s="223"/>
      <c r="E154" s="223"/>
      <c r="F154" s="223"/>
      <c r="G154" s="224"/>
      <c r="H154" s="209"/>
      <c r="I154" s="209"/>
      <c r="J154" s="209"/>
      <c r="K154" s="171"/>
      <c r="L154" s="225"/>
      <c r="M154" s="225"/>
      <c r="N154" s="230"/>
      <c r="O154" s="228"/>
      <c r="P154" s="231"/>
      <c r="Q154" s="228"/>
      <c r="R154" s="231"/>
      <c r="S154" s="229"/>
      <c r="T154" s="229"/>
      <c r="U154" s="217"/>
      <c r="V154" s="217"/>
      <c r="W154" s="218"/>
      <c r="X154" s="220"/>
    </row>
    <row r="155" spans="1:24" s="75" customFormat="1" ht="25.65" customHeight="1">
      <c r="A155" s="218"/>
      <c r="B155" s="221"/>
      <c r="C155" s="222"/>
      <c r="D155" s="223"/>
      <c r="E155" s="223"/>
      <c r="F155" s="223"/>
      <c r="G155" s="224"/>
      <c r="H155" s="209"/>
      <c r="I155" s="209"/>
      <c r="J155" s="209"/>
      <c r="K155" s="171"/>
      <c r="L155" s="225"/>
      <c r="M155" s="225"/>
      <c r="N155" s="230"/>
      <c r="O155" s="228"/>
      <c r="P155" s="231"/>
      <c r="Q155" s="228"/>
      <c r="R155" s="231"/>
      <c r="S155" s="229"/>
      <c r="T155" s="229"/>
      <c r="U155" s="217"/>
      <c r="V155" s="217"/>
      <c r="W155" s="218"/>
      <c r="X155" s="220"/>
    </row>
    <row r="156" spans="1:24" s="75" customFormat="1" ht="25.65" customHeight="1">
      <c r="A156" s="218"/>
      <c r="B156" s="221"/>
      <c r="C156" s="222"/>
      <c r="D156" s="223"/>
      <c r="E156" s="223"/>
      <c r="F156" s="223"/>
      <c r="G156" s="224"/>
      <c r="H156" s="209"/>
      <c r="I156" s="209"/>
      <c r="J156" s="209"/>
      <c r="K156" s="171"/>
      <c r="L156" s="225"/>
      <c r="M156" s="225"/>
      <c r="N156" s="230"/>
      <c r="O156" s="228"/>
      <c r="P156" s="231"/>
      <c r="Q156" s="228"/>
      <c r="R156" s="231"/>
      <c r="S156" s="229"/>
      <c r="T156" s="229"/>
      <c r="U156" s="217"/>
      <c r="V156" s="217"/>
      <c r="W156" s="218"/>
      <c r="X156" s="220"/>
    </row>
    <row r="157" spans="1:24" s="75" customFormat="1" ht="25.65" customHeight="1">
      <c r="A157" s="218"/>
      <c r="B157" s="221"/>
      <c r="C157" s="222"/>
      <c r="D157" s="223"/>
      <c r="E157" s="223"/>
      <c r="F157" s="223"/>
      <c r="G157" s="224"/>
      <c r="H157" s="209"/>
      <c r="I157" s="209"/>
      <c r="J157" s="209"/>
      <c r="K157" s="171"/>
      <c r="L157" s="225"/>
      <c r="M157" s="225"/>
      <c r="N157" s="230"/>
      <c r="O157" s="228"/>
      <c r="P157" s="231"/>
      <c r="Q157" s="228"/>
      <c r="R157" s="231"/>
      <c r="S157" s="229"/>
      <c r="T157" s="229"/>
      <c r="U157" s="217"/>
      <c r="V157" s="217"/>
      <c r="W157" s="218"/>
      <c r="X157" s="220"/>
    </row>
    <row r="158" spans="1:24" s="75" customFormat="1" ht="25.65" customHeight="1">
      <c r="A158" s="218"/>
      <c r="B158" s="221"/>
      <c r="C158" s="222"/>
      <c r="D158" s="223"/>
      <c r="E158" s="223"/>
      <c r="F158" s="223"/>
      <c r="G158" s="224"/>
      <c r="H158" s="209"/>
      <c r="I158" s="209"/>
      <c r="J158" s="209"/>
      <c r="K158" s="171"/>
      <c r="L158" s="225"/>
      <c r="M158" s="225"/>
      <c r="N158" s="230"/>
      <c r="O158" s="228"/>
      <c r="P158" s="231"/>
      <c r="Q158" s="228"/>
      <c r="R158" s="231"/>
      <c r="S158" s="229"/>
      <c r="T158" s="229"/>
      <c r="U158" s="217"/>
      <c r="V158" s="217"/>
      <c r="W158" s="218"/>
      <c r="X158" s="220"/>
    </row>
    <row r="159" spans="1:24" s="75" customFormat="1" ht="25.65" customHeight="1">
      <c r="A159" s="218"/>
      <c r="B159" s="221"/>
      <c r="C159" s="222"/>
      <c r="D159" s="223"/>
      <c r="E159" s="223"/>
      <c r="F159" s="223"/>
      <c r="G159" s="224"/>
      <c r="H159" s="209"/>
      <c r="I159" s="209"/>
      <c r="J159" s="209"/>
      <c r="K159" s="171"/>
      <c r="L159" s="225"/>
      <c r="M159" s="225"/>
      <c r="N159" s="230"/>
      <c r="O159" s="228"/>
      <c r="P159" s="231"/>
      <c r="Q159" s="228"/>
      <c r="R159" s="231"/>
      <c r="S159" s="229"/>
      <c r="T159" s="229"/>
      <c r="U159" s="217"/>
      <c r="V159" s="217"/>
      <c r="W159" s="218"/>
      <c r="X159" s="220"/>
    </row>
    <row r="160" spans="1:24" s="75" customFormat="1" ht="25.65" customHeight="1">
      <c r="A160" s="218"/>
      <c r="B160" s="221"/>
      <c r="C160" s="222"/>
      <c r="D160" s="223"/>
      <c r="E160" s="223"/>
      <c r="F160" s="223"/>
      <c r="G160" s="224"/>
      <c r="H160" s="209"/>
      <c r="I160" s="209"/>
      <c r="J160" s="209"/>
      <c r="K160" s="171"/>
      <c r="L160" s="225"/>
      <c r="M160" s="225"/>
      <c r="N160" s="230"/>
      <c r="O160" s="228"/>
      <c r="P160" s="231"/>
      <c r="Q160" s="228"/>
      <c r="R160" s="231"/>
      <c r="S160" s="229"/>
      <c r="T160" s="229"/>
      <c r="U160" s="217"/>
      <c r="V160" s="217"/>
      <c r="W160" s="218"/>
      <c r="X160" s="220"/>
    </row>
    <row r="161" spans="1:24" s="75" customFormat="1" ht="25.65" customHeight="1">
      <c r="A161" s="218"/>
      <c r="B161" s="221"/>
      <c r="C161" s="222"/>
      <c r="D161" s="223"/>
      <c r="E161" s="223"/>
      <c r="F161" s="223"/>
      <c r="G161" s="224"/>
      <c r="H161" s="209"/>
      <c r="I161" s="209"/>
      <c r="J161" s="209"/>
      <c r="K161" s="171"/>
      <c r="L161" s="225"/>
      <c r="M161" s="225"/>
      <c r="N161" s="230"/>
      <c r="O161" s="228"/>
      <c r="P161" s="231"/>
      <c r="Q161" s="228"/>
      <c r="R161" s="231"/>
      <c r="S161" s="229"/>
      <c r="T161" s="229"/>
      <c r="U161" s="217"/>
      <c r="V161" s="217"/>
      <c r="W161" s="218"/>
      <c r="X161" s="220"/>
    </row>
    <row r="162" spans="1:24" s="75" customFormat="1" ht="25.65" customHeight="1">
      <c r="A162" s="218"/>
      <c r="B162" s="221"/>
      <c r="C162" s="222"/>
      <c r="D162" s="223"/>
      <c r="E162" s="223"/>
      <c r="F162" s="223"/>
      <c r="G162" s="224"/>
      <c r="H162" s="209"/>
      <c r="I162" s="209"/>
      <c r="J162" s="209"/>
      <c r="K162" s="171"/>
      <c r="L162" s="225"/>
      <c r="M162" s="225"/>
      <c r="N162" s="230"/>
      <c r="O162" s="228"/>
      <c r="P162" s="231"/>
      <c r="Q162" s="228"/>
      <c r="R162" s="231"/>
      <c r="S162" s="229"/>
      <c r="T162" s="229"/>
      <c r="U162" s="217"/>
      <c r="V162" s="217"/>
      <c r="W162" s="218"/>
      <c r="X162" s="220"/>
    </row>
    <row r="163" spans="1:24" s="75" customFormat="1" ht="25.65" customHeight="1">
      <c r="A163" s="218"/>
      <c r="B163" s="221"/>
      <c r="C163" s="222"/>
      <c r="D163" s="223"/>
      <c r="E163" s="223"/>
      <c r="F163" s="223"/>
      <c r="G163" s="224"/>
      <c r="H163" s="209"/>
      <c r="I163" s="209"/>
      <c r="J163" s="209"/>
      <c r="K163" s="171"/>
      <c r="L163" s="225"/>
      <c r="M163" s="225"/>
      <c r="N163" s="230"/>
      <c r="O163" s="228"/>
      <c r="P163" s="231"/>
      <c r="Q163" s="228"/>
      <c r="R163" s="231"/>
      <c r="S163" s="229"/>
      <c r="T163" s="229"/>
      <c r="U163" s="217"/>
      <c r="V163" s="217"/>
      <c r="W163" s="218"/>
      <c r="X163" s="220"/>
    </row>
    <row r="164" spans="1:24" s="75" customFormat="1" ht="25.65" customHeight="1">
      <c r="A164" s="218"/>
      <c r="B164" s="221"/>
      <c r="C164" s="222"/>
      <c r="D164" s="223"/>
      <c r="E164" s="223"/>
      <c r="F164" s="223"/>
      <c r="G164" s="224"/>
      <c r="H164" s="209"/>
      <c r="I164" s="209"/>
      <c r="J164" s="209"/>
      <c r="K164" s="171"/>
      <c r="L164" s="225"/>
      <c r="M164" s="225"/>
      <c r="N164" s="230"/>
      <c r="O164" s="228"/>
      <c r="P164" s="231"/>
      <c r="Q164" s="228"/>
      <c r="R164" s="231"/>
      <c r="S164" s="229"/>
      <c r="T164" s="229"/>
      <c r="U164" s="217"/>
      <c r="V164" s="217"/>
      <c r="W164" s="218"/>
      <c r="X164" s="220"/>
    </row>
    <row r="165" spans="1:24" s="75" customFormat="1" ht="25.65" customHeight="1">
      <c r="A165" s="218"/>
      <c r="B165" s="221"/>
      <c r="C165" s="222"/>
      <c r="D165" s="223"/>
      <c r="E165" s="223"/>
      <c r="F165" s="223"/>
      <c r="G165" s="224"/>
      <c r="H165" s="209"/>
      <c r="I165" s="209"/>
      <c r="J165" s="209"/>
      <c r="K165" s="171"/>
      <c r="L165" s="225"/>
      <c r="M165" s="225"/>
      <c r="N165" s="230"/>
      <c r="O165" s="228"/>
      <c r="P165" s="231"/>
      <c r="Q165" s="228"/>
      <c r="R165" s="231"/>
      <c r="S165" s="229"/>
      <c r="T165" s="229"/>
      <c r="U165" s="217"/>
      <c r="V165" s="217"/>
      <c r="W165" s="218"/>
      <c r="X165" s="220"/>
    </row>
    <row r="166" spans="1:24" s="75" customFormat="1" ht="25.65" customHeight="1">
      <c r="A166" s="218"/>
      <c r="B166" s="221"/>
      <c r="C166" s="222"/>
      <c r="D166" s="223"/>
      <c r="E166" s="223"/>
      <c r="F166" s="223"/>
      <c r="G166" s="224"/>
      <c r="H166" s="209"/>
      <c r="I166" s="209"/>
      <c r="J166" s="209"/>
      <c r="K166" s="171"/>
      <c r="L166" s="225"/>
      <c r="M166" s="225"/>
      <c r="N166" s="230"/>
      <c r="O166" s="228"/>
      <c r="P166" s="231"/>
      <c r="Q166" s="228"/>
      <c r="R166" s="231"/>
      <c r="S166" s="229"/>
      <c r="T166" s="229"/>
      <c r="U166" s="217"/>
      <c r="V166" s="217"/>
      <c r="W166" s="218"/>
      <c r="X166" s="220"/>
    </row>
    <row r="167" spans="1:24" s="75" customFormat="1" ht="25.65" customHeight="1">
      <c r="A167" s="218"/>
      <c r="B167" s="221"/>
      <c r="C167" s="222"/>
      <c r="D167" s="223"/>
      <c r="E167" s="223"/>
      <c r="F167" s="223"/>
      <c r="G167" s="224"/>
      <c r="H167" s="209"/>
      <c r="I167" s="209"/>
      <c r="J167" s="209"/>
      <c r="K167" s="171"/>
      <c r="L167" s="225"/>
      <c r="M167" s="225"/>
      <c r="N167" s="230"/>
      <c r="O167" s="228"/>
      <c r="P167" s="231"/>
      <c r="Q167" s="228"/>
      <c r="R167" s="231"/>
      <c r="S167" s="229"/>
      <c r="T167" s="229"/>
      <c r="U167" s="217"/>
      <c r="V167" s="217"/>
      <c r="W167" s="218"/>
      <c r="X167" s="220"/>
    </row>
    <row r="168" spans="1:24" s="75" customFormat="1" ht="25.65" customHeight="1">
      <c r="A168" s="218"/>
      <c r="B168" s="221"/>
      <c r="C168" s="222"/>
      <c r="D168" s="223"/>
      <c r="E168" s="223"/>
      <c r="F168" s="223"/>
      <c r="G168" s="224"/>
      <c r="H168" s="209"/>
      <c r="I168" s="209"/>
      <c r="J168" s="209"/>
      <c r="K168" s="171"/>
      <c r="L168" s="225"/>
      <c r="M168" s="225"/>
      <c r="N168" s="230"/>
      <c r="O168" s="228"/>
      <c r="P168" s="231"/>
      <c r="Q168" s="228"/>
      <c r="R168" s="231"/>
      <c r="S168" s="229"/>
      <c r="T168" s="229"/>
      <c r="U168" s="217"/>
      <c r="V168" s="217"/>
      <c r="W168" s="218"/>
      <c r="X168" s="220"/>
    </row>
    <row r="169" spans="1:24" s="75" customFormat="1" ht="25.65" customHeight="1">
      <c r="A169" s="218"/>
      <c r="B169" s="221"/>
      <c r="C169" s="222"/>
      <c r="D169" s="223"/>
      <c r="E169" s="223"/>
      <c r="F169" s="223"/>
      <c r="G169" s="224"/>
      <c r="H169" s="209"/>
      <c r="I169" s="209"/>
      <c r="J169" s="209"/>
      <c r="K169" s="171"/>
      <c r="L169" s="225"/>
      <c r="M169" s="225"/>
      <c r="N169" s="230"/>
      <c r="O169" s="228"/>
      <c r="P169" s="231"/>
      <c r="Q169" s="228"/>
      <c r="R169" s="231"/>
      <c r="S169" s="229"/>
      <c r="T169" s="229"/>
      <c r="U169" s="217"/>
      <c r="V169" s="217"/>
      <c r="W169" s="218"/>
      <c r="X169" s="220"/>
    </row>
    <row r="170" spans="1:24" s="75" customFormat="1" ht="25.65" customHeight="1">
      <c r="A170" s="218"/>
      <c r="B170" s="221"/>
      <c r="C170" s="222"/>
      <c r="D170" s="223"/>
      <c r="E170" s="223"/>
      <c r="F170" s="223"/>
      <c r="G170" s="224"/>
      <c r="H170" s="209"/>
      <c r="I170" s="209"/>
      <c r="J170" s="209"/>
      <c r="K170" s="171"/>
      <c r="L170" s="225"/>
      <c r="M170" s="225"/>
      <c r="N170" s="230"/>
      <c r="O170" s="228"/>
      <c r="P170" s="231"/>
      <c r="Q170" s="228"/>
      <c r="R170" s="231"/>
      <c r="S170" s="229"/>
      <c r="T170" s="229"/>
      <c r="U170" s="217"/>
      <c r="V170" s="217"/>
      <c r="W170" s="218"/>
      <c r="X170" s="220"/>
    </row>
    <row r="171" spans="1:24" s="75" customFormat="1" ht="25.65" customHeight="1">
      <c r="A171" s="218"/>
      <c r="B171" s="221"/>
      <c r="C171" s="222"/>
      <c r="D171" s="223"/>
      <c r="E171" s="223"/>
      <c r="F171" s="223"/>
      <c r="G171" s="224"/>
      <c r="H171" s="209"/>
      <c r="I171" s="209"/>
      <c r="J171" s="209"/>
      <c r="K171" s="171"/>
      <c r="L171" s="225"/>
      <c r="M171" s="225"/>
      <c r="N171" s="230"/>
      <c r="O171" s="228"/>
      <c r="P171" s="231"/>
      <c r="Q171" s="228"/>
      <c r="R171" s="231"/>
      <c r="S171" s="229"/>
      <c r="T171" s="229"/>
      <c r="U171" s="217"/>
      <c r="V171" s="217"/>
      <c r="W171" s="218"/>
      <c r="X171" s="220"/>
    </row>
    <row r="172" spans="1:24" s="75" customFormat="1" ht="25.65" customHeight="1">
      <c r="A172" s="218"/>
      <c r="B172" s="221"/>
      <c r="C172" s="222"/>
      <c r="D172" s="223"/>
      <c r="E172" s="223"/>
      <c r="F172" s="223"/>
      <c r="G172" s="224"/>
      <c r="H172" s="209"/>
      <c r="I172" s="209"/>
      <c r="J172" s="209"/>
      <c r="K172" s="171"/>
      <c r="L172" s="225"/>
      <c r="M172" s="225"/>
      <c r="N172" s="230"/>
      <c r="O172" s="228"/>
      <c r="P172" s="231"/>
      <c r="Q172" s="228"/>
      <c r="R172" s="231"/>
      <c r="S172" s="229"/>
      <c r="T172" s="229"/>
      <c r="U172" s="217"/>
      <c r="V172" s="217"/>
      <c r="W172" s="218"/>
      <c r="X172" s="220"/>
    </row>
    <row r="173" spans="1:24" s="75" customFormat="1" ht="25.65" customHeight="1">
      <c r="A173" s="218"/>
      <c r="B173" s="221"/>
      <c r="C173" s="222"/>
      <c r="D173" s="223"/>
      <c r="E173" s="223"/>
      <c r="F173" s="223"/>
      <c r="G173" s="224"/>
      <c r="H173" s="209"/>
      <c r="I173" s="209"/>
      <c r="J173" s="209"/>
      <c r="K173" s="171"/>
      <c r="L173" s="225"/>
      <c r="M173" s="225"/>
      <c r="N173" s="230"/>
      <c r="O173" s="228"/>
      <c r="P173" s="231"/>
      <c r="Q173" s="228"/>
      <c r="R173" s="231"/>
      <c r="S173" s="229"/>
      <c r="T173" s="229"/>
      <c r="U173" s="217"/>
      <c r="V173" s="217"/>
      <c r="W173" s="218"/>
      <c r="X173" s="220"/>
    </row>
    <row r="174" spans="1:24" s="75" customFormat="1" ht="25.65" customHeight="1">
      <c r="A174" s="218"/>
      <c r="B174" s="221"/>
      <c r="C174" s="222"/>
      <c r="D174" s="223"/>
      <c r="E174" s="223"/>
      <c r="F174" s="223"/>
      <c r="G174" s="224"/>
      <c r="H174" s="209"/>
      <c r="I174" s="209"/>
      <c r="J174" s="209"/>
      <c r="K174" s="171"/>
      <c r="L174" s="225"/>
      <c r="M174" s="225"/>
      <c r="N174" s="230"/>
      <c r="O174" s="228"/>
      <c r="P174" s="231"/>
      <c r="Q174" s="228"/>
      <c r="R174" s="231"/>
      <c r="S174" s="229"/>
      <c r="T174" s="229"/>
      <c r="U174" s="217"/>
      <c r="V174" s="217"/>
      <c r="W174" s="218"/>
      <c r="X174" s="220"/>
    </row>
    <row r="175" spans="1:24" s="75" customFormat="1" ht="25.65" customHeight="1">
      <c r="A175" s="218"/>
      <c r="B175" s="221"/>
      <c r="C175" s="222"/>
      <c r="D175" s="223"/>
      <c r="E175" s="223"/>
      <c r="F175" s="223"/>
      <c r="G175" s="224"/>
      <c r="H175" s="209"/>
      <c r="I175" s="209"/>
      <c r="J175" s="209"/>
      <c r="K175" s="171"/>
      <c r="L175" s="225"/>
      <c r="M175" s="225"/>
      <c r="N175" s="230"/>
      <c r="O175" s="228"/>
      <c r="P175" s="231"/>
      <c r="Q175" s="228"/>
      <c r="R175" s="231"/>
      <c r="S175" s="229"/>
      <c r="T175" s="229"/>
      <c r="U175" s="217"/>
      <c r="V175" s="217"/>
      <c r="W175" s="218"/>
      <c r="X175" s="220"/>
    </row>
    <row r="176" spans="1:24" s="75" customFormat="1" ht="25.65" customHeight="1">
      <c r="A176" s="218"/>
      <c r="B176" s="221"/>
      <c r="C176" s="222"/>
      <c r="D176" s="223"/>
      <c r="E176" s="223"/>
      <c r="F176" s="223"/>
      <c r="G176" s="224"/>
      <c r="H176" s="209"/>
      <c r="I176" s="209"/>
      <c r="J176" s="209"/>
      <c r="K176" s="171"/>
      <c r="L176" s="225"/>
      <c r="M176" s="225"/>
      <c r="N176" s="230"/>
      <c r="O176" s="228"/>
      <c r="P176" s="231"/>
      <c r="Q176" s="228"/>
      <c r="R176" s="231"/>
      <c r="S176" s="229"/>
      <c r="T176" s="229"/>
      <c r="U176" s="217"/>
      <c r="V176" s="217"/>
      <c r="W176" s="218"/>
      <c r="X176" s="220"/>
    </row>
    <row r="177" spans="1:24" s="75" customFormat="1" ht="25.65" customHeight="1">
      <c r="A177" s="218"/>
      <c r="B177" s="221"/>
      <c r="C177" s="222"/>
      <c r="D177" s="223"/>
      <c r="E177" s="223"/>
      <c r="F177" s="223"/>
      <c r="G177" s="224"/>
      <c r="H177" s="209"/>
      <c r="I177" s="209"/>
      <c r="J177" s="209"/>
      <c r="K177" s="171"/>
      <c r="L177" s="225"/>
      <c r="M177" s="225"/>
      <c r="N177" s="230"/>
      <c r="O177" s="228"/>
      <c r="P177" s="231"/>
      <c r="Q177" s="228"/>
      <c r="R177" s="231"/>
      <c r="S177" s="229"/>
      <c r="T177" s="229"/>
      <c r="U177" s="217"/>
      <c r="V177" s="217"/>
      <c r="W177" s="218"/>
      <c r="X177" s="220"/>
    </row>
    <row r="178" spans="1:24" s="75" customFormat="1" ht="25.65" customHeight="1">
      <c r="A178" s="218"/>
      <c r="B178" s="221"/>
      <c r="C178" s="222"/>
      <c r="D178" s="223"/>
      <c r="E178" s="223"/>
      <c r="F178" s="223"/>
      <c r="G178" s="224"/>
      <c r="H178" s="209"/>
      <c r="I178" s="209"/>
      <c r="J178" s="209"/>
      <c r="K178" s="171"/>
      <c r="L178" s="225"/>
      <c r="M178" s="225"/>
      <c r="N178" s="230"/>
      <c r="O178" s="228"/>
      <c r="P178" s="231"/>
      <c r="Q178" s="228"/>
      <c r="R178" s="231"/>
      <c r="S178" s="229"/>
      <c r="T178" s="229"/>
      <c r="U178" s="217"/>
      <c r="V178" s="217"/>
      <c r="W178" s="218"/>
      <c r="X178" s="220"/>
    </row>
    <row r="179" spans="1:24" s="75" customFormat="1" ht="25.65" customHeight="1">
      <c r="A179" s="218"/>
      <c r="B179" s="221"/>
      <c r="C179" s="222"/>
      <c r="D179" s="223"/>
      <c r="E179" s="223"/>
      <c r="F179" s="223"/>
      <c r="G179" s="224"/>
      <c r="H179" s="209"/>
      <c r="I179" s="209"/>
      <c r="J179" s="209"/>
      <c r="K179" s="171"/>
      <c r="L179" s="225"/>
      <c r="M179" s="225"/>
      <c r="N179" s="230"/>
      <c r="O179" s="228"/>
      <c r="P179" s="231"/>
      <c r="Q179" s="228"/>
      <c r="R179" s="231"/>
      <c r="S179" s="229"/>
      <c r="T179" s="229"/>
      <c r="U179" s="217"/>
      <c r="V179" s="217"/>
      <c r="W179" s="218"/>
      <c r="X179" s="220"/>
    </row>
    <row r="180" spans="1:24" s="75" customFormat="1" ht="25.65" customHeight="1">
      <c r="A180" s="218"/>
      <c r="B180" s="221"/>
      <c r="C180" s="222"/>
      <c r="D180" s="223"/>
      <c r="E180" s="223"/>
      <c r="F180" s="223"/>
      <c r="G180" s="224"/>
      <c r="H180" s="209"/>
      <c r="I180" s="209"/>
      <c r="J180" s="209"/>
      <c r="K180" s="171"/>
      <c r="L180" s="225"/>
      <c r="M180" s="225"/>
      <c r="N180" s="230"/>
      <c r="O180" s="228"/>
      <c r="P180" s="231"/>
      <c r="Q180" s="228"/>
      <c r="R180" s="231"/>
      <c r="S180" s="229"/>
      <c r="T180" s="229"/>
      <c r="U180" s="217"/>
      <c r="V180" s="217"/>
      <c r="W180" s="218"/>
      <c r="X180" s="220"/>
    </row>
    <row r="181" spans="1:24" s="75" customFormat="1" ht="25.65" customHeight="1">
      <c r="A181" s="218"/>
      <c r="B181" s="221"/>
      <c r="C181" s="222"/>
      <c r="D181" s="223"/>
      <c r="E181" s="223"/>
      <c r="F181" s="223"/>
      <c r="G181" s="224"/>
      <c r="H181" s="209"/>
      <c r="I181" s="209"/>
      <c r="J181" s="209"/>
      <c r="K181" s="171"/>
      <c r="L181" s="225"/>
      <c r="M181" s="225"/>
      <c r="N181" s="230"/>
      <c r="O181" s="228"/>
      <c r="P181" s="231"/>
      <c r="Q181" s="228"/>
      <c r="R181" s="231"/>
      <c r="S181" s="229"/>
      <c r="T181" s="229"/>
      <c r="U181" s="217"/>
      <c r="V181" s="217"/>
      <c r="W181" s="218"/>
      <c r="X181" s="220"/>
    </row>
    <row r="182" spans="1:24" s="75" customFormat="1" ht="25.65" customHeight="1">
      <c r="A182" s="218"/>
      <c r="B182" s="221"/>
      <c r="C182" s="222"/>
      <c r="D182" s="223"/>
      <c r="E182" s="223"/>
      <c r="F182" s="223"/>
      <c r="G182" s="224"/>
      <c r="H182" s="209"/>
      <c r="I182" s="209"/>
      <c r="J182" s="209"/>
      <c r="K182" s="171"/>
      <c r="L182" s="225"/>
      <c r="M182" s="225"/>
      <c r="N182" s="230"/>
      <c r="O182" s="228"/>
      <c r="P182" s="231"/>
      <c r="Q182" s="228"/>
      <c r="R182" s="231"/>
      <c r="S182" s="229"/>
      <c r="T182" s="229"/>
      <c r="U182" s="217"/>
      <c r="V182" s="217"/>
      <c r="W182" s="218"/>
      <c r="X182" s="220"/>
    </row>
    <row r="183" spans="1:24" s="75" customFormat="1" ht="25.65" customHeight="1">
      <c r="A183" s="218"/>
      <c r="B183" s="221"/>
      <c r="C183" s="222"/>
      <c r="D183" s="223"/>
      <c r="E183" s="223"/>
      <c r="F183" s="223"/>
      <c r="G183" s="224"/>
      <c r="H183" s="209"/>
      <c r="I183" s="209"/>
      <c r="J183" s="209"/>
      <c r="K183" s="171"/>
      <c r="L183" s="225"/>
      <c r="M183" s="225"/>
      <c r="N183" s="230"/>
      <c r="O183" s="228"/>
      <c r="P183" s="231"/>
      <c r="Q183" s="228"/>
      <c r="R183" s="231"/>
      <c r="S183" s="229"/>
      <c r="T183" s="229"/>
      <c r="U183" s="217"/>
      <c r="V183" s="217"/>
      <c r="W183" s="218"/>
      <c r="X183" s="220"/>
    </row>
    <row r="184" spans="1:24" s="75" customFormat="1" ht="25.65" customHeight="1">
      <c r="A184" s="218"/>
      <c r="B184" s="221"/>
      <c r="C184" s="222"/>
      <c r="D184" s="223"/>
      <c r="E184" s="223"/>
      <c r="F184" s="223"/>
      <c r="G184" s="224"/>
      <c r="H184" s="209"/>
      <c r="I184" s="209"/>
      <c r="J184" s="209"/>
      <c r="K184" s="171"/>
      <c r="L184" s="225"/>
      <c r="M184" s="225"/>
      <c r="N184" s="230"/>
      <c r="O184" s="228"/>
      <c r="P184" s="231"/>
      <c r="Q184" s="228"/>
      <c r="R184" s="231"/>
      <c r="S184" s="229"/>
      <c r="T184" s="229"/>
      <c r="U184" s="217"/>
      <c r="V184" s="217"/>
      <c r="W184" s="218"/>
      <c r="X184" s="220"/>
    </row>
    <row r="185" spans="1:24" s="75" customFormat="1" ht="25.65" customHeight="1">
      <c r="A185" s="218"/>
      <c r="B185" s="221"/>
      <c r="C185" s="222"/>
      <c r="D185" s="223"/>
      <c r="E185" s="223"/>
      <c r="F185" s="223"/>
      <c r="G185" s="224"/>
      <c r="H185" s="209"/>
      <c r="I185" s="209"/>
      <c r="J185" s="209"/>
      <c r="K185" s="171"/>
      <c r="L185" s="225"/>
      <c r="M185" s="225"/>
      <c r="N185" s="230"/>
      <c r="O185" s="228"/>
      <c r="P185" s="231"/>
      <c r="Q185" s="228"/>
      <c r="R185" s="231"/>
      <c r="S185" s="229"/>
      <c r="T185" s="229"/>
      <c r="U185" s="217"/>
      <c r="V185" s="217"/>
      <c r="W185" s="218"/>
      <c r="X185" s="220"/>
    </row>
    <row r="186" spans="1:24" s="75" customFormat="1" ht="25.65" customHeight="1">
      <c r="A186" s="218"/>
      <c r="B186" s="221"/>
      <c r="C186" s="222"/>
      <c r="D186" s="223"/>
      <c r="E186" s="223"/>
      <c r="F186" s="223"/>
      <c r="G186" s="224"/>
      <c r="H186" s="209"/>
      <c r="I186" s="209"/>
      <c r="J186" s="209"/>
      <c r="K186" s="171"/>
      <c r="L186" s="225"/>
      <c r="M186" s="225"/>
      <c r="N186" s="230"/>
      <c r="O186" s="228"/>
      <c r="P186" s="231"/>
      <c r="Q186" s="228"/>
      <c r="R186" s="231"/>
      <c r="S186" s="229"/>
      <c r="T186" s="229"/>
      <c r="U186" s="217"/>
      <c r="V186" s="217"/>
      <c r="W186" s="218"/>
      <c r="X186" s="220"/>
    </row>
    <row r="187" spans="1:24" s="75" customFormat="1" ht="25.65" customHeight="1">
      <c r="A187" s="218"/>
      <c r="B187" s="221"/>
      <c r="C187" s="222"/>
      <c r="D187" s="223"/>
      <c r="E187" s="223"/>
      <c r="F187" s="223"/>
      <c r="G187" s="224"/>
      <c r="H187" s="209"/>
      <c r="I187" s="209"/>
      <c r="J187" s="209"/>
      <c r="K187" s="171"/>
      <c r="L187" s="225"/>
      <c r="M187" s="225"/>
      <c r="N187" s="230"/>
      <c r="O187" s="228"/>
      <c r="P187" s="231"/>
      <c r="Q187" s="228"/>
      <c r="R187" s="231"/>
      <c r="S187" s="229"/>
      <c r="T187" s="229"/>
      <c r="U187" s="217"/>
      <c r="V187" s="217"/>
      <c r="W187" s="218"/>
      <c r="X187" s="220"/>
    </row>
    <row r="188" spans="1:24" s="75" customFormat="1" ht="25.65" customHeight="1">
      <c r="A188" s="218"/>
      <c r="B188" s="221"/>
      <c r="C188" s="222"/>
      <c r="D188" s="223"/>
      <c r="E188" s="223"/>
      <c r="F188" s="223"/>
      <c r="G188" s="224"/>
      <c r="H188" s="209"/>
      <c r="I188" s="209"/>
      <c r="J188" s="209"/>
      <c r="K188" s="171"/>
      <c r="L188" s="225"/>
      <c r="M188" s="225"/>
      <c r="N188" s="230"/>
      <c r="O188" s="228"/>
      <c r="P188" s="231"/>
      <c r="Q188" s="228"/>
      <c r="R188" s="231"/>
      <c r="S188" s="229"/>
      <c r="T188" s="229"/>
      <c r="U188" s="217"/>
      <c r="V188" s="217"/>
      <c r="W188" s="218"/>
      <c r="X188" s="220"/>
    </row>
    <row r="189" spans="1:24" s="75" customFormat="1" ht="25.65" customHeight="1">
      <c r="A189" s="218"/>
      <c r="B189" s="221"/>
      <c r="C189" s="222"/>
      <c r="D189" s="223"/>
      <c r="E189" s="223"/>
      <c r="F189" s="223"/>
      <c r="G189" s="224"/>
      <c r="H189" s="209"/>
      <c r="I189" s="209"/>
      <c r="J189" s="209"/>
      <c r="K189" s="171"/>
      <c r="L189" s="225"/>
      <c r="M189" s="225"/>
      <c r="N189" s="230"/>
      <c r="O189" s="228"/>
      <c r="P189" s="231"/>
      <c r="Q189" s="228"/>
      <c r="R189" s="231"/>
      <c r="S189" s="229"/>
      <c r="T189" s="229"/>
      <c r="U189" s="217"/>
      <c r="V189" s="217"/>
      <c r="W189" s="218"/>
      <c r="X189" s="220"/>
    </row>
    <row r="190" spans="1:24" s="75" customFormat="1" ht="25.65" customHeight="1">
      <c r="A190" s="218"/>
      <c r="B190" s="221"/>
      <c r="C190" s="222"/>
      <c r="D190" s="223"/>
      <c r="E190" s="223"/>
      <c r="F190" s="223"/>
      <c r="G190" s="224"/>
      <c r="H190" s="209"/>
      <c r="I190" s="209"/>
      <c r="J190" s="209"/>
      <c r="K190" s="171"/>
      <c r="L190" s="225"/>
      <c r="M190" s="225"/>
      <c r="N190" s="230"/>
      <c r="O190" s="228"/>
      <c r="P190" s="231"/>
      <c r="Q190" s="228"/>
      <c r="R190" s="231"/>
      <c r="S190" s="229"/>
      <c r="T190" s="229"/>
      <c r="U190" s="217"/>
      <c r="V190" s="217"/>
      <c r="W190" s="218"/>
      <c r="X190" s="220"/>
    </row>
    <row r="191" spans="1:24" s="75" customFormat="1" ht="25.65" customHeight="1">
      <c r="A191" s="218"/>
      <c r="B191" s="221"/>
      <c r="C191" s="222"/>
      <c r="D191" s="223"/>
      <c r="E191" s="223"/>
      <c r="F191" s="223"/>
      <c r="G191" s="224"/>
      <c r="H191" s="209"/>
      <c r="I191" s="209"/>
      <c r="J191" s="209"/>
      <c r="K191" s="171"/>
      <c r="L191" s="225"/>
      <c r="M191" s="225"/>
      <c r="N191" s="230"/>
      <c r="O191" s="228"/>
      <c r="P191" s="231"/>
      <c r="Q191" s="228"/>
      <c r="R191" s="231"/>
      <c r="S191" s="229"/>
      <c r="T191" s="229"/>
      <c r="U191" s="217"/>
      <c r="V191" s="217"/>
      <c r="W191" s="218"/>
      <c r="X191" s="220"/>
    </row>
    <row r="192" spans="1:24" s="75" customFormat="1" ht="25.65" customHeight="1">
      <c r="A192" s="218"/>
      <c r="B192" s="221"/>
      <c r="C192" s="222"/>
      <c r="D192" s="223"/>
      <c r="E192" s="223"/>
      <c r="F192" s="223"/>
      <c r="G192" s="224"/>
      <c r="H192" s="209"/>
      <c r="I192" s="209"/>
      <c r="J192" s="209"/>
      <c r="K192" s="171"/>
      <c r="L192" s="225"/>
      <c r="M192" s="225"/>
      <c r="N192" s="230"/>
      <c r="O192" s="228"/>
      <c r="P192" s="231"/>
      <c r="Q192" s="228"/>
      <c r="R192" s="231"/>
      <c r="S192" s="229"/>
      <c r="T192" s="229"/>
      <c r="U192" s="217"/>
      <c r="V192" s="217"/>
      <c r="W192" s="218"/>
      <c r="X192" s="220"/>
    </row>
    <row r="193" spans="1:24" s="75" customFormat="1" ht="25.65" customHeight="1">
      <c r="A193" s="218"/>
      <c r="B193" s="221"/>
      <c r="C193" s="222"/>
      <c r="D193" s="223"/>
      <c r="E193" s="223"/>
      <c r="F193" s="223"/>
      <c r="G193" s="224"/>
      <c r="H193" s="209"/>
      <c r="I193" s="209"/>
      <c r="J193" s="209"/>
      <c r="K193" s="171"/>
      <c r="L193" s="225"/>
      <c r="M193" s="225"/>
      <c r="N193" s="230"/>
      <c r="O193" s="228"/>
      <c r="P193" s="231"/>
      <c r="Q193" s="228"/>
      <c r="R193" s="231"/>
      <c r="S193" s="229"/>
      <c r="T193" s="229"/>
      <c r="U193" s="217"/>
      <c r="V193" s="217"/>
      <c r="W193" s="218"/>
      <c r="X193" s="220"/>
    </row>
    <row r="194" spans="1:24" s="75" customFormat="1" ht="25.65" customHeight="1">
      <c r="A194" s="218"/>
      <c r="B194" s="221"/>
      <c r="C194" s="222"/>
      <c r="D194" s="223"/>
      <c r="E194" s="223"/>
      <c r="F194" s="223"/>
      <c r="G194" s="224"/>
      <c r="H194" s="209"/>
      <c r="I194" s="209"/>
      <c r="J194" s="209"/>
      <c r="K194" s="171"/>
      <c r="L194" s="225"/>
      <c r="M194" s="225"/>
      <c r="N194" s="230"/>
      <c r="O194" s="228"/>
      <c r="P194" s="231"/>
      <c r="Q194" s="228"/>
      <c r="R194" s="231"/>
      <c r="S194" s="229"/>
      <c r="T194" s="229"/>
      <c r="U194" s="217"/>
      <c r="V194" s="217"/>
      <c r="W194" s="218"/>
      <c r="X194" s="220"/>
    </row>
    <row r="195" spans="1:24" s="75" customFormat="1" ht="25.65" customHeight="1">
      <c r="A195" s="218"/>
      <c r="B195" s="221"/>
      <c r="C195" s="222"/>
      <c r="D195" s="223"/>
      <c r="E195" s="223"/>
      <c r="F195" s="223"/>
      <c r="G195" s="224"/>
      <c r="H195" s="209"/>
      <c r="I195" s="209"/>
      <c r="J195" s="209"/>
      <c r="K195" s="171"/>
      <c r="L195" s="225"/>
      <c r="M195" s="225"/>
      <c r="N195" s="230"/>
      <c r="O195" s="228"/>
      <c r="P195" s="231"/>
      <c r="Q195" s="228"/>
      <c r="R195" s="231"/>
      <c r="S195" s="229"/>
      <c r="T195" s="229"/>
      <c r="U195" s="217"/>
      <c r="V195" s="217"/>
      <c r="W195" s="218"/>
      <c r="X195" s="220"/>
    </row>
    <row r="196" spans="1:24" s="75" customFormat="1" ht="25.65" customHeight="1">
      <c r="A196" s="218"/>
      <c r="B196" s="221"/>
      <c r="C196" s="222"/>
      <c r="D196" s="223"/>
      <c r="E196" s="223"/>
      <c r="F196" s="223"/>
      <c r="G196" s="224"/>
      <c r="H196" s="209"/>
      <c r="I196" s="209"/>
      <c r="J196" s="209"/>
      <c r="K196" s="171"/>
      <c r="L196" s="225"/>
      <c r="M196" s="225"/>
      <c r="N196" s="230"/>
      <c r="O196" s="228"/>
      <c r="P196" s="231"/>
      <c r="Q196" s="228"/>
      <c r="R196" s="231"/>
      <c r="S196" s="229"/>
      <c r="T196" s="229"/>
      <c r="U196" s="217"/>
      <c r="V196" s="217"/>
      <c r="W196" s="218"/>
      <c r="X196" s="220"/>
    </row>
    <row r="197" spans="1:24" s="75" customFormat="1" ht="25.65" customHeight="1">
      <c r="A197" s="218"/>
      <c r="B197" s="221"/>
      <c r="C197" s="222"/>
      <c r="D197" s="223"/>
      <c r="E197" s="223"/>
      <c r="F197" s="223"/>
      <c r="G197" s="224"/>
      <c r="H197" s="209"/>
      <c r="I197" s="209"/>
      <c r="J197" s="209"/>
      <c r="K197" s="171"/>
      <c r="L197" s="225"/>
      <c r="M197" s="225"/>
      <c r="N197" s="230"/>
      <c r="O197" s="228"/>
      <c r="P197" s="231"/>
      <c r="Q197" s="228"/>
      <c r="R197" s="231"/>
      <c r="S197" s="229"/>
      <c r="T197" s="229"/>
      <c r="U197" s="217"/>
      <c r="V197" s="217"/>
      <c r="W197" s="218"/>
      <c r="X197" s="220"/>
    </row>
    <row r="198" spans="1:24" s="75" customFormat="1" ht="25.65" customHeight="1">
      <c r="A198" s="218"/>
      <c r="B198" s="221"/>
      <c r="C198" s="222"/>
      <c r="D198" s="223"/>
      <c r="E198" s="223"/>
      <c r="F198" s="223"/>
      <c r="G198" s="224"/>
      <c r="H198" s="209"/>
      <c r="I198" s="209"/>
      <c r="J198" s="209"/>
      <c r="K198" s="171"/>
      <c r="L198" s="225"/>
      <c r="M198" s="225"/>
      <c r="N198" s="230"/>
      <c r="O198" s="228"/>
      <c r="P198" s="231"/>
      <c r="Q198" s="228"/>
      <c r="R198" s="231"/>
      <c r="S198" s="229"/>
      <c r="T198" s="229"/>
      <c r="U198" s="217"/>
      <c r="V198" s="217"/>
      <c r="W198" s="218"/>
      <c r="X198" s="220"/>
    </row>
    <row r="199" spans="1:24" s="75" customFormat="1" ht="25.65" customHeight="1">
      <c r="A199" s="218"/>
      <c r="B199" s="221"/>
      <c r="C199" s="222"/>
      <c r="D199" s="223"/>
      <c r="E199" s="223"/>
      <c r="F199" s="223"/>
      <c r="G199" s="224"/>
      <c r="H199" s="209"/>
      <c r="I199" s="209"/>
      <c r="J199" s="209"/>
      <c r="K199" s="171"/>
      <c r="L199" s="225"/>
      <c r="M199" s="225"/>
      <c r="N199" s="230"/>
      <c r="O199" s="228"/>
      <c r="P199" s="231"/>
      <c r="Q199" s="228"/>
      <c r="R199" s="231"/>
      <c r="S199" s="229"/>
      <c r="T199" s="229"/>
      <c r="U199" s="217"/>
      <c r="V199" s="217"/>
      <c r="W199" s="218"/>
      <c r="X199" s="220"/>
    </row>
    <row r="200" spans="1:24" s="75" customFormat="1" ht="25.65" customHeight="1">
      <c r="A200" s="218"/>
      <c r="B200" s="221"/>
      <c r="C200" s="222"/>
      <c r="D200" s="223"/>
      <c r="E200" s="223"/>
      <c r="F200" s="223"/>
      <c r="G200" s="224"/>
      <c r="H200" s="209"/>
      <c r="I200" s="209"/>
      <c r="J200" s="209"/>
      <c r="K200" s="171"/>
      <c r="L200" s="225"/>
      <c r="M200" s="225"/>
      <c r="N200" s="230"/>
      <c r="O200" s="228"/>
      <c r="P200" s="231"/>
      <c r="Q200" s="228"/>
      <c r="R200" s="231"/>
      <c r="S200" s="229"/>
      <c r="T200" s="229"/>
      <c r="U200" s="217"/>
      <c r="V200" s="217"/>
      <c r="W200" s="218"/>
      <c r="X200" s="220"/>
    </row>
    <row r="201" spans="1:24" s="75" customFormat="1" ht="25.65" customHeight="1">
      <c r="A201" s="218"/>
      <c r="B201" s="221"/>
      <c r="C201" s="222"/>
      <c r="D201" s="223"/>
      <c r="E201" s="223"/>
      <c r="F201" s="223"/>
      <c r="G201" s="224"/>
      <c r="H201" s="209"/>
      <c r="I201" s="209"/>
      <c r="J201" s="209"/>
      <c r="K201" s="171"/>
      <c r="L201" s="225"/>
      <c r="M201" s="225"/>
      <c r="N201" s="230"/>
      <c r="O201" s="228"/>
      <c r="P201" s="231"/>
      <c r="Q201" s="228"/>
      <c r="R201" s="231"/>
      <c r="S201" s="229"/>
      <c r="T201" s="229"/>
      <c r="U201" s="217"/>
      <c r="V201" s="217"/>
      <c r="W201" s="218"/>
      <c r="X201" s="220"/>
    </row>
    <row r="202" spans="1:24" s="75" customFormat="1" ht="25.65" customHeight="1">
      <c r="A202" s="218"/>
      <c r="B202" s="221"/>
      <c r="C202" s="222"/>
      <c r="D202" s="223"/>
      <c r="E202" s="223"/>
      <c r="F202" s="223"/>
      <c r="G202" s="224"/>
      <c r="H202" s="209"/>
      <c r="I202" s="209"/>
      <c r="J202" s="209"/>
      <c r="K202" s="171"/>
      <c r="L202" s="225"/>
      <c r="M202" s="225"/>
      <c r="N202" s="230"/>
      <c r="O202" s="228"/>
      <c r="P202" s="231"/>
      <c r="Q202" s="228"/>
      <c r="R202" s="231"/>
      <c r="S202" s="229"/>
      <c r="T202" s="229"/>
      <c r="U202" s="217"/>
      <c r="V202" s="217"/>
      <c r="W202" s="218"/>
      <c r="X202" s="220"/>
    </row>
    <row r="203" spans="1:24" s="75" customFormat="1" ht="25.65" customHeight="1">
      <c r="A203" s="218"/>
      <c r="B203" s="221"/>
      <c r="C203" s="222"/>
      <c r="D203" s="223"/>
      <c r="E203" s="223"/>
      <c r="F203" s="223"/>
      <c r="G203" s="224"/>
      <c r="H203" s="209"/>
      <c r="I203" s="209"/>
      <c r="J203" s="209"/>
      <c r="K203" s="171"/>
      <c r="L203" s="225"/>
      <c r="M203" s="225"/>
      <c r="N203" s="230"/>
      <c r="O203" s="228"/>
      <c r="P203" s="231"/>
      <c r="Q203" s="228"/>
      <c r="R203" s="231"/>
      <c r="S203" s="229"/>
      <c r="T203" s="229"/>
      <c r="U203" s="217"/>
      <c r="V203" s="217"/>
      <c r="W203" s="218"/>
      <c r="X203" s="220"/>
    </row>
    <row r="204" spans="1:24" s="75" customFormat="1" ht="25.65" customHeight="1">
      <c r="A204" s="218"/>
      <c r="B204" s="221"/>
      <c r="C204" s="222"/>
      <c r="D204" s="223"/>
      <c r="E204" s="223"/>
      <c r="F204" s="223"/>
      <c r="G204" s="224"/>
      <c r="H204" s="209"/>
      <c r="I204" s="209"/>
      <c r="J204" s="209"/>
      <c r="K204" s="171"/>
      <c r="L204" s="225"/>
      <c r="M204" s="225"/>
      <c r="N204" s="230"/>
      <c r="O204" s="228"/>
      <c r="P204" s="231"/>
      <c r="Q204" s="228"/>
      <c r="R204" s="231"/>
      <c r="S204" s="229"/>
      <c r="T204" s="229"/>
      <c r="U204" s="217"/>
      <c r="V204" s="217"/>
      <c r="W204" s="218"/>
      <c r="X204" s="220"/>
    </row>
    <row r="205" spans="1:24" s="75" customFormat="1" ht="25.65" customHeight="1">
      <c r="A205" s="218"/>
      <c r="B205" s="221"/>
      <c r="C205" s="222"/>
      <c r="D205" s="223"/>
      <c r="E205" s="223"/>
      <c r="F205" s="223"/>
      <c r="G205" s="224"/>
      <c r="H205" s="209"/>
      <c r="I205" s="209"/>
      <c r="J205" s="209"/>
      <c r="K205" s="171"/>
      <c r="L205" s="225"/>
      <c r="M205" s="225"/>
      <c r="N205" s="230"/>
      <c r="O205" s="228"/>
      <c r="P205" s="231"/>
      <c r="Q205" s="228"/>
      <c r="R205" s="231"/>
      <c r="S205" s="229"/>
      <c r="T205" s="229"/>
      <c r="U205" s="217"/>
      <c r="V205" s="217"/>
      <c r="W205" s="218"/>
      <c r="X205" s="220"/>
    </row>
    <row r="206" spans="1:24" s="75" customFormat="1" ht="25.65" customHeight="1">
      <c r="A206" s="218"/>
      <c r="B206" s="221"/>
      <c r="C206" s="222"/>
      <c r="D206" s="223"/>
      <c r="E206" s="223"/>
      <c r="F206" s="223"/>
      <c r="G206" s="224"/>
      <c r="H206" s="209"/>
      <c r="I206" s="209"/>
      <c r="J206" s="209"/>
      <c r="K206" s="171"/>
      <c r="L206" s="225"/>
      <c r="M206" s="225"/>
      <c r="N206" s="230"/>
      <c r="O206" s="228"/>
      <c r="P206" s="231"/>
      <c r="Q206" s="228"/>
      <c r="R206" s="231"/>
      <c r="S206" s="229"/>
      <c r="T206" s="229"/>
      <c r="U206" s="217"/>
      <c r="V206" s="217"/>
      <c r="W206" s="218"/>
      <c r="X206" s="220"/>
    </row>
    <row r="207" spans="1:24" s="75" customFormat="1" ht="25.65" customHeight="1">
      <c r="A207" s="218"/>
      <c r="B207" s="221"/>
      <c r="C207" s="222"/>
      <c r="D207" s="223"/>
      <c r="E207" s="223"/>
      <c r="F207" s="223"/>
      <c r="G207" s="224"/>
      <c r="H207" s="209"/>
      <c r="I207" s="209"/>
      <c r="J207" s="209"/>
      <c r="K207" s="171"/>
      <c r="L207" s="225"/>
      <c r="M207" s="225"/>
      <c r="N207" s="230"/>
      <c r="O207" s="228"/>
      <c r="P207" s="231"/>
      <c r="Q207" s="228"/>
      <c r="R207" s="231"/>
      <c r="S207" s="229"/>
      <c r="T207" s="229"/>
      <c r="U207" s="217"/>
      <c r="V207" s="217"/>
      <c r="W207" s="218"/>
      <c r="X207" s="220"/>
    </row>
    <row r="208" spans="1:24" s="75" customFormat="1" ht="25.65" customHeight="1">
      <c r="A208" s="218"/>
      <c r="B208" s="221"/>
      <c r="C208" s="222"/>
      <c r="D208" s="223"/>
      <c r="E208" s="223"/>
      <c r="F208" s="223"/>
      <c r="G208" s="224"/>
      <c r="H208" s="209"/>
      <c r="I208" s="209"/>
      <c r="J208" s="209"/>
      <c r="K208" s="171"/>
      <c r="L208" s="225"/>
      <c r="M208" s="225"/>
      <c r="N208" s="230"/>
      <c r="O208" s="228"/>
      <c r="P208" s="231"/>
      <c r="Q208" s="228"/>
      <c r="R208" s="231"/>
      <c r="S208" s="229"/>
      <c r="T208" s="229"/>
      <c r="U208" s="217"/>
      <c r="V208" s="217"/>
      <c r="W208" s="218"/>
      <c r="X208" s="220"/>
    </row>
    <row r="209" spans="1:24" s="75" customFormat="1" ht="25.65" customHeight="1">
      <c r="A209" s="218"/>
      <c r="B209" s="221"/>
      <c r="C209" s="222"/>
      <c r="D209" s="223"/>
      <c r="E209" s="223"/>
      <c r="F209" s="223"/>
      <c r="G209" s="224"/>
      <c r="H209" s="209"/>
      <c r="I209" s="209"/>
      <c r="J209" s="209"/>
      <c r="K209" s="171"/>
      <c r="L209" s="225"/>
      <c r="M209" s="225"/>
      <c r="N209" s="230"/>
      <c r="O209" s="228"/>
      <c r="P209" s="231"/>
      <c r="Q209" s="228"/>
      <c r="R209" s="231"/>
      <c r="S209" s="229"/>
      <c r="T209" s="229"/>
      <c r="U209" s="217"/>
      <c r="V209" s="217"/>
      <c r="W209" s="218"/>
      <c r="X209" s="220"/>
    </row>
    <row r="210" spans="1:24" s="75" customFormat="1" ht="25.65" customHeight="1">
      <c r="A210" s="218"/>
      <c r="B210" s="221"/>
      <c r="C210" s="222"/>
      <c r="D210" s="223"/>
      <c r="E210" s="223"/>
      <c r="F210" s="223"/>
      <c r="G210" s="224"/>
      <c r="H210" s="209"/>
      <c r="I210" s="209"/>
      <c r="J210" s="209"/>
      <c r="K210" s="171"/>
      <c r="L210" s="225"/>
      <c r="M210" s="225"/>
      <c r="N210" s="230"/>
      <c r="O210" s="228"/>
      <c r="P210" s="231"/>
      <c r="Q210" s="228"/>
      <c r="R210" s="231"/>
      <c r="S210" s="229"/>
      <c r="T210" s="229"/>
      <c r="U210" s="217"/>
      <c r="V210" s="217"/>
      <c r="W210" s="218"/>
      <c r="X210" s="220"/>
    </row>
    <row r="211" spans="1:24" s="75" customFormat="1" ht="25.65" customHeight="1">
      <c r="A211" s="218"/>
      <c r="B211" s="221"/>
      <c r="C211" s="222"/>
      <c r="D211" s="223"/>
      <c r="E211" s="223"/>
      <c r="F211" s="223"/>
      <c r="G211" s="224"/>
      <c r="H211" s="209"/>
      <c r="I211" s="209"/>
      <c r="J211" s="209"/>
      <c r="K211" s="171"/>
      <c r="L211" s="225"/>
      <c r="M211" s="225"/>
      <c r="N211" s="230"/>
      <c r="O211" s="228"/>
      <c r="P211" s="231"/>
      <c r="Q211" s="228"/>
      <c r="R211" s="231"/>
      <c r="S211" s="229"/>
      <c r="T211" s="229"/>
      <c r="U211" s="217"/>
      <c r="V211" s="217"/>
      <c r="W211" s="218"/>
      <c r="X211" s="220"/>
    </row>
    <row r="212" spans="1:24" s="75" customFormat="1" ht="25.65" customHeight="1">
      <c r="A212" s="218"/>
      <c r="B212" s="221"/>
      <c r="C212" s="222"/>
      <c r="D212" s="223"/>
      <c r="E212" s="223"/>
      <c r="F212" s="223"/>
      <c r="G212" s="224"/>
      <c r="H212" s="209"/>
      <c r="I212" s="209"/>
      <c r="J212" s="209"/>
      <c r="K212" s="171"/>
      <c r="L212" s="225"/>
      <c r="M212" s="225"/>
      <c r="N212" s="230"/>
      <c r="O212" s="228"/>
      <c r="P212" s="231"/>
      <c r="Q212" s="228"/>
      <c r="R212" s="231"/>
      <c r="S212" s="229"/>
      <c r="T212" s="229"/>
      <c r="U212" s="217"/>
      <c r="V212" s="217"/>
      <c r="W212" s="218"/>
      <c r="X212" s="220"/>
    </row>
    <row r="213" spans="1:24" s="75" customFormat="1" ht="25.65" customHeight="1">
      <c r="A213" s="218"/>
      <c r="B213" s="221"/>
      <c r="C213" s="222"/>
      <c r="D213" s="223"/>
      <c r="E213" s="223"/>
      <c r="F213" s="223"/>
      <c r="G213" s="224"/>
      <c r="H213" s="209"/>
      <c r="I213" s="209"/>
      <c r="J213" s="209"/>
      <c r="K213" s="171"/>
      <c r="L213" s="225"/>
      <c r="M213" s="225"/>
      <c r="N213" s="230"/>
      <c r="O213" s="228"/>
      <c r="P213" s="231"/>
      <c r="Q213" s="228"/>
      <c r="R213" s="231"/>
      <c r="S213" s="229"/>
      <c r="T213" s="229"/>
      <c r="U213" s="217"/>
      <c r="V213" s="217"/>
      <c r="W213" s="218"/>
      <c r="X213" s="220"/>
    </row>
    <row r="214" spans="1:24" s="75" customFormat="1" ht="25.65" customHeight="1">
      <c r="A214" s="218"/>
      <c r="B214" s="221"/>
      <c r="C214" s="222"/>
      <c r="D214" s="223"/>
      <c r="E214" s="223"/>
      <c r="F214" s="223"/>
      <c r="G214" s="224"/>
      <c r="H214" s="209"/>
      <c r="I214" s="209"/>
      <c r="J214" s="209"/>
      <c r="K214" s="171"/>
      <c r="L214" s="225"/>
      <c r="M214" s="225"/>
      <c r="N214" s="230"/>
      <c r="O214" s="228"/>
      <c r="P214" s="231"/>
      <c r="Q214" s="228"/>
      <c r="R214" s="231"/>
      <c r="S214" s="229"/>
      <c r="T214" s="229"/>
      <c r="U214" s="217"/>
      <c r="V214" s="217"/>
      <c r="W214" s="218"/>
      <c r="X214" s="220"/>
    </row>
    <row r="215" spans="1:24" s="75" customFormat="1" ht="25.65" customHeight="1">
      <c r="A215" s="218"/>
      <c r="B215" s="221"/>
      <c r="C215" s="222"/>
      <c r="D215" s="223"/>
      <c r="E215" s="223"/>
      <c r="F215" s="223"/>
      <c r="G215" s="224"/>
      <c r="H215" s="209"/>
      <c r="I215" s="209"/>
      <c r="J215" s="209"/>
      <c r="K215" s="171"/>
      <c r="L215" s="225"/>
      <c r="M215" s="225"/>
      <c r="N215" s="230"/>
      <c r="O215" s="228"/>
      <c r="P215" s="231"/>
      <c r="Q215" s="228"/>
      <c r="R215" s="231"/>
      <c r="S215" s="229"/>
      <c r="T215" s="229"/>
      <c r="U215" s="217"/>
      <c r="V215" s="217"/>
      <c r="W215" s="218"/>
      <c r="X215" s="220"/>
    </row>
    <row r="216" spans="1:24" s="75" customFormat="1" ht="25.65" customHeight="1">
      <c r="A216" s="218"/>
      <c r="B216" s="221"/>
      <c r="C216" s="222"/>
      <c r="D216" s="223"/>
      <c r="E216" s="223"/>
      <c r="F216" s="223"/>
      <c r="G216" s="224"/>
      <c r="H216" s="209"/>
      <c r="I216" s="209"/>
      <c r="J216" s="209"/>
      <c r="K216" s="171"/>
      <c r="L216" s="225"/>
      <c r="M216" s="225"/>
      <c r="N216" s="230"/>
      <c r="O216" s="228"/>
      <c r="P216" s="231"/>
      <c r="Q216" s="228"/>
      <c r="R216" s="231"/>
      <c r="S216" s="229"/>
      <c r="T216" s="229"/>
      <c r="U216" s="217"/>
      <c r="V216" s="217"/>
      <c r="W216" s="218"/>
      <c r="X216" s="220"/>
    </row>
    <row r="217" spans="1:24" s="75" customFormat="1" ht="25.65" customHeight="1">
      <c r="A217" s="218"/>
      <c r="B217" s="221"/>
      <c r="C217" s="222"/>
      <c r="D217" s="223"/>
      <c r="E217" s="223"/>
      <c r="F217" s="223"/>
      <c r="G217" s="224"/>
      <c r="H217" s="209"/>
      <c r="I217" s="209"/>
      <c r="J217" s="209"/>
      <c r="K217" s="171"/>
      <c r="L217" s="225"/>
      <c r="M217" s="225"/>
      <c r="N217" s="230"/>
      <c r="O217" s="228"/>
      <c r="P217" s="231"/>
      <c r="Q217" s="228"/>
      <c r="R217" s="231"/>
      <c r="S217" s="229"/>
      <c r="T217" s="229"/>
      <c r="U217" s="217"/>
      <c r="V217" s="217"/>
      <c r="W217" s="218"/>
      <c r="X217" s="220"/>
    </row>
    <row r="218" spans="1:24" s="75" customFormat="1" ht="25.65" customHeight="1">
      <c r="A218" s="218"/>
      <c r="B218" s="221"/>
      <c r="C218" s="222"/>
      <c r="D218" s="223"/>
      <c r="E218" s="223"/>
      <c r="F218" s="223"/>
      <c r="G218" s="224"/>
      <c r="H218" s="209"/>
      <c r="I218" s="209"/>
      <c r="J218" s="209"/>
      <c r="K218" s="171"/>
      <c r="L218" s="225"/>
      <c r="M218" s="225"/>
      <c r="N218" s="230"/>
      <c r="O218" s="228"/>
      <c r="P218" s="231"/>
      <c r="Q218" s="228"/>
      <c r="R218" s="231"/>
      <c r="S218" s="229"/>
      <c r="T218" s="229"/>
      <c r="U218" s="217"/>
      <c r="V218" s="217"/>
      <c r="W218" s="218"/>
      <c r="X218" s="220"/>
    </row>
    <row r="219" spans="1:24" s="75" customFormat="1" ht="25.65" customHeight="1">
      <c r="A219" s="218"/>
      <c r="B219" s="221"/>
      <c r="C219" s="222"/>
      <c r="D219" s="223"/>
      <c r="E219" s="223"/>
      <c r="F219" s="223"/>
      <c r="G219" s="224"/>
      <c r="H219" s="209"/>
      <c r="I219" s="209"/>
      <c r="J219" s="209"/>
      <c r="K219" s="171"/>
      <c r="L219" s="225"/>
      <c r="M219" s="225"/>
      <c r="N219" s="230"/>
      <c r="O219" s="228"/>
      <c r="P219" s="231"/>
      <c r="Q219" s="228"/>
      <c r="R219" s="231"/>
      <c r="S219" s="229"/>
      <c r="T219" s="229"/>
      <c r="U219" s="217"/>
      <c r="V219" s="217"/>
      <c r="W219" s="218"/>
      <c r="X219" s="220"/>
    </row>
    <row r="220" spans="1:24" s="75" customFormat="1" ht="25.65" customHeight="1">
      <c r="A220" s="218"/>
      <c r="B220" s="221"/>
      <c r="C220" s="222"/>
      <c r="D220" s="223"/>
      <c r="E220" s="223"/>
      <c r="F220" s="223"/>
      <c r="G220" s="224"/>
      <c r="H220" s="209"/>
      <c r="I220" s="209"/>
      <c r="J220" s="209"/>
      <c r="K220" s="171"/>
      <c r="L220" s="225"/>
      <c r="M220" s="225"/>
      <c r="N220" s="230"/>
      <c r="O220" s="228"/>
      <c r="P220" s="231"/>
      <c r="Q220" s="228"/>
      <c r="R220" s="231"/>
      <c r="S220" s="229"/>
      <c r="T220" s="229"/>
      <c r="U220" s="217"/>
      <c r="V220" s="217"/>
      <c r="W220" s="218"/>
      <c r="X220" s="220"/>
    </row>
    <row r="221" spans="1:24" s="75" customFormat="1" ht="25.65" customHeight="1">
      <c r="A221" s="218"/>
      <c r="B221" s="221"/>
      <c r="C221" s="222"/>
      <c r="D221" s="223"/>
      <c r="E221" s="223"/>
      <c r="F221" s="223"/>
      <c r="G221" s="224"/>
      <c r="H221" s="209"/>
      <c r="I221" s="209"/>
      <c r="J221" s="209"/>
      <c r="K221" s="171"/>
      <c r="L221" s="225"/>
      <c r="M221" s="225"/>
      <c r="N221" s="230"/>
      <c r="O221" s="228"/>
      <c r="P221" s="231"/>
      <c r="Q221" s="228"/>
      <c r="R221" s="231"/>
      <c r="S221" s="229"/>
      <c r="T221" s="229"/>
      <c r="U221" s="217"/>
      <c r="V221" s="217"/>
      <c r="W221" s="218"/>
      <c r="X221" s="220"/>
    </row>
    <row r="222" spans="1:24" s="75" customFormat="1" ht="25.65" customHeight="1">
      <c r="A222" s="218"/>
      <c r="B222" s="221"/>
      <c r="C222" s="222"/>
      <c r="D222" s="223"/>
      <c r="E222" s="223"/>
      <c r="F222" s="223"/>
      <c r="G222" s="224"/>
      <c r="H222" s="209"/>
      <c r="I222" s="209"/>
      <c r="J222" s="209"/>
      <c r="K222" s="171"/>
      <c r="L222" s="225"/>
      <c r="M222" s="225"/>
      <c r="N222" s="230"/>
      <c r="O222" s="228"/>
      <c r="P222" s="231"/>
      <c r="Q222" s="228"/>
      <c r="R222" s="231"/>
      <c r="S222" s="229"/>
      <c r="T222" s="229"/>
      <c r="U222" s="217"/>
      <c r="V222" s="217"/>
      <c r="W222" s="218"/>
      <c r="X222" s="220"/>
    </row>
    <row r="223" spans="1:24" s="75" customFormat="1" ht="25.65" customHeight="1">
      <c r="A223" s="218"/>
      <c r="B223" s="221"/>
      <c r="C223" s="222"/>
      <c r="D223" s="223"/>
      <c r="E223" s="223"/>
      <c r="F223" s="223"/>
      <c r="G223" s="224"/>
      <c r="H223" s="209"/>
      <c r="I223" s="209"/>
      <c r="J223" s="209"/>
      <c r="K223" s="171"/>
      <c r="L223" s="225"/>
      <c r="M223" s="225"/>
      <c r="N223" s="230"/>
      <c r="O223" s="228"/>
      <c r="P223" s="231"/>
      <c r="Q223" s="228"/>
      <c r="R223" s="231"/>
      <c r="S223" s="229"/>
      <c r="T223" s="229"/>
      <c r="U223" s="217"/>
      <c r="V223" s="217"/>
      <c r="W223" s="218"/>
      <c r="X223" s="220"/>
    </row>
    <row r="224" spans="1:24" s="75" customFormat="1" ht="25.65" customHeight="1">
      <c r="A224" s="218"/>
      <c r="B224" s="221"/>
      <c r="C224" s="222"/>
      <c r="D224" s="223"/>
      <c r="E224" s="223"/>
      <c r="F224" s="223"/>
      <c r="G224" s="224"/>
      <c r="H224" s="209"/>
      <c r="I224" s="209"/>
      <c r="J224" s="209"/>
      <c r="K224" s="171"/>
      <c r="L224" s="225"/>
      <c r="M224" s="225"/>
      <c r="N224" s="230"/>
      <c r="O224" s="228"/>
      <c r="P224" s="231"/>
      <c r="Q224" s="228"/>
      <c r="R224" s="231"/>
      <c r="S224" s="229"/>
      <c r="T224" s="229"/>
      <c r="U224" s="217"/>
      <c r="V224" s="217"/>
      <c r="W224" s="218"/>
      <c r="X224" s="220"/>
    </row>
    <row r="225" spans="1:24" s="75" customFormat="1" ht="25.65" customHeight="1">
      <c r="A225" s="218"/>
      <c r="B225" s="221"/>
      <c r="C225" s="222"/>
      <c r="D225" s="223"/>
      <c r="E225" s="223"/>
      <c r="F225" s="223"/>
      <c r="G225" s="224"/>
      <c r="H225" s="209"/>
      <c r="I225" s="209"/>
      <c r="J225" s="209"/>
      <c r="K225" s="171"/>
      <c r="L225" s="225"/>
      <c r="M225" s="225"/>
      <c r="N225" s="230"/>
      <c r="O225" s="228"/>
      <c r="P225" s="231"/>
      <c r="Q225" s="228"/>
      <c r="R225" s="231"/>
      <c r="S225" s="229"/>
      <c r="T225" s="229"/>
      <c r="U225" s="217"/>
      <c r="V225" s="217"/>
      <c r="W225" s="218"/>
      <c r="X225" s="220"/>
    </row>
    <row r="226" spans="1:24" s="75" customFormat="1" ht="25.65" customHeight="1">
      <c r="A226" s="218"/>
      <c r="B226" s="221"/>
      <c r="C226" s="222"/>
      <c r="D226" s="223"/>
      <c r="E226" s="223"/>
      <c r="F226" s="223"/>
      <c r="G226" s="224"/>
      <c r="H226" s="209"/>
      <c r="I226" s="209"/>
      <c r="J226" s="209"/>
      <c r="K226" s="171"/>
      <c r="L226" s="225"/>
      <c r="M226" s="225"/>
      <c r="N226" s="230"/>
      <c r="O226" s="228"/>
      <c r="P226" s="231"/>
      <c r="Q226" s="228"/>
      <c r="R226" s="231"/>
      <c r="S226" s="229"/>
      <c r="T226" s="229"/>
      <c r="U226" s="217"/>
      <c r="V226" s="217"/>
      <c r="W226" s="218"/>
      <c r="X226" s="220"/>
    </row>
    <row r="227" spans="1:24" s="75" customFormat="1" ht="25.65" customHeight="1">
      <c r="A227" s="218"/>
      <c r="B227" s="221"/>
      <c r="C227" s="222"/>
      <c r="D227" s="223"/>
      <c r="E227" s="223"/>
      <c r="F227" s="223"/>
      <c r="G227" s="224"/>
      <c r="H227" s="209"/>
      <c r="I227" s="209"/>
      <c r="J227" s="209"/>
      <c r="K227" s="171"/>
      <c r="L227" s="225"/>
      <c r="M227" s="225"/>
      <c r="N227" s="230"/>
      <c r="O227" s="228"/>
      <c r="P227" s="231"/>
      <c r="Q227" s="228"/>
      <c r="R227" s="231"/>
      <c r="S227" s="229"/>
      <c r="T227" s="229"/>
      <c r="U227" s="217"/>
      <c r="V227" s="217"/>
      <c r="W227" s="218"/>
      <c r="X227" s="220"/>
    </row>
    <row r="228" spans="1:24" s="75" customFormat="1" ht="25.65" customHeight="1">
      <c r="A228" s="218"/>
      <c r="B228" s="221"/>
      <c r="C228" s="222"/>
      <c r="D228" s="223"/>
      <c r="E228" s="223"/>
      <c r="F228" s="223"/>
      <c r="G228" s="224"/>
      <c r="H228" s="209"/>
      <c r="I228" s="209"/>
      <c r="J228" s="209"/>
      <c r="K228" s="171"/>
      <c r="L228" s="225"/>
      <c r="M228" s="225"/>
      <c r="N228" s="230"/>
      <c r="O228" s="228"/>
      <c r="P228" s="231"/>
      <c r="Q228" s="228"/>
      <c r="R228" s="231"/>
      <c r="S228" s="229"/>
      <c r="T228" s="229"/>
      <c r="U228" s="217"/>
      <c r="V228" s="217"/>
      <c r="W228" s="218"/>
      <c r="X228" s="220"/>
    </row>
    <row r="229" spans="1:24" s="75" customFormat="1" ht="25.65" customHeight="1">
      <c r="A229" s="218"/>
      <c r="B229" s="221"/>
      <c r="C229" s="222"/>
      <c r="D229" s="223"/>
      <c r="E229" s="223"/>
      <c r="F229" s="223"/>
      <c r="G229" s="224"/>
      <c r="H229" s="209"/>
      <c r="I229" s="209"/>
      <c r="J229" s="209"/>
      <c r="K229" s="171"/>
      <c r="L229" s="225"/>
      <c r="M229" s="225"/>
      <c r="N229" s="230"/>
      <c r="O229" s="228"/>
      <c r="P229" s="231"/>
      <c r="Q229" s="228"/>
      <c r="R229" s="231"/>
      <c r="S229" s="229"/>
      <c r="T229" s="229"/>
      <c r="U229" s="217"/>
      <c r="V229" s="217"/>
      <c r="W229" s="218"/>
      <c r="X229" s="220"/>
    </row>
    <row r="230" spans="1:24" s="75" customFormat="1" ht="25.65" customHeight="1">
      <c r="A230" s="218"/>
      <c r="B230" s="221"/>
      <c r="C230" s="222"/>
      <c r="D230" s="223"/>
      <c r="E230" s="223"/>
      <c r="F230" s="223"/>
      <c r="G230" s="224"/>
      <c r="H230" s="209"/>
      <c r="I230" s="209"/>
      <c r="J230" s="209"/>
      <c r="K230" s="171"/>
      <c r="L230" s="225"/>
      <c r="M230" s="225"/>
      <c r="N230" s="230"/>
      <c r="O230" s="228"/>
      <c r="P230" s="231"/>
      <c r="Q230" s="228"/>
      <c r="R230" s="231"/>
      <c r="S230" s="229"/>
      <c r="T230" s="229"/>
      <c r="U230" s="217"/>
      <c r="V230" s="217"/>
      <c r="W230" s="218"/>
      <c r="X230" s="220"/>
    </row>
    <row r="231" spans="1:24" s="75" customFormat="1" ht="25.65" customHeight="1">
      <c r="A231" s="218"/>
      <c r="B231" s="221"/>
      <c r="C231" s="222"/>
      <c r="D231" s="223"/>
      <c r="E231" s="223"/>
      <c r="F231" s="223"/>
      <c r="G231" s="224"/>
      <c r="H231" s="209"/>
      <c r="I231" s="209"/>
      <c r="J231" s="209"/>
      <c r="K231" s="171"/>
      <c r="L231" s="225"/>
      <c r="M231" s="225"/>
      <c r="N231" s="230"/>
      <c r="O231" s="228"/>
      <c r="P231" s="231"/>
      <c r="Q231" s="228"/>
      <c r="R231" s="231"/>
      <c r="S231" s="229"/>
      <c r="T231" s="229"/>
      <c r="U231" s="217"/>
      <c r="V231" s="217"/>
      <c r="W231" s="218"/>
      <c r="X231" s="220"/>
    </row>
    <row r="232" spans="1:24" s="75" customFormat="1" ht="25.65" customHeight="1">
      <c r="A232" s="218"/>
      <c r="B232" s="221"/>
      <c r="C232" s="222"/>
      <c r="D232" s="223"/>
      <c r="E232" s="223"/>
      <c r="F232" s="223"/>
      <c r="G232" s="224"/>
      <c r="H232" s="209"/>
      <c r="I232" s="209"/>
      <c r="J232" s="209"/>
      <c r="K232" s="171"/>
      <c r="L232" s="225"/>
      <c r="M232" s="225"/>
      <c r="N232" s="230"/>
      <c r="O232" s="228"/>
      <c r="P232" s="231"/>
      <c r="Q232" s="228"/>
      <c r="R232" s="231"/>
      <c r="S232" s="229"/>
      <c r="T232" s="229"/>
      <c r="U232" s="217"/>
      <c r="V232" s="217"/>
      <c r="W232" s="218"/>
      <c r="X232" s="220"/>
    </row>
    <row r="233" spans="1:24" s="75" customFormat="1" ht="25.65" customHeight="1">
      <c r="A233" s="218"/>
      <c r="B233" s="221"/>
      <c r="C233" s="222"/>
      <c r="D233" s="223"/>
      <c r="E233" s="223"/>
      <c r="F233" s="223"/>
      <c r="G233" s="224"/>
      <c r="H233" s="209"/>
      <c r="I233" s="209"/>
      <c r="J233" s="209"/>
      <c r="K233" s="171"/>
      <c r="L233" s="225"/>
      <c r="M233" s="225"/>
      <c r="N233" s="230"/>
      <c r="O233" s="228"/>
      <c r="P233" s="231"/>
      <c r="Q233" s="228"/>
      <c r="R233" s="231"/>
      <c r="S233" s="229"/>
      <c r="T233" s="229"/>
      <c r="U233" s="217"/>
      <c r="V233" s="217"/>
      <c r="W233" s="218"/>
      <c r="X233" s="220"/>
    </row>
    <row r="234" spans="1:24" s="75" customFormat="1" ht="25.65" customHeight="1">
      <c r="A234" s="218"/>
      <c r="B234" s="221"/>
      <c r="C234" s="222"/>
      <c r="D234" s="223"/>
      <c r="E234" s="223"/>
      <c r="F234" s="223"/>
      <c r="G234" s="224"/>
      <c r="H234" s="209"/>
      <c r="I234" s="209"/>
      <c r="J234" s="209"/>
      <c r="K234" s="171"/>
      <c r="L234" s="225"/>
      <c r="M234" s="225"/>
      <c r="N234" s="230"/>
      <c r="O234" s="228"/>
      <c r="P234" s="231"/>
      <c r="Q234" s="228"/>
      <c r="R234" s="231"/>
      <c r="S234" s="229"/>
      <c r="T234" s="229"/>
      <c r="U234" s="217"/>
      <c r="V234" s="217"/>
      <c r="W234" s="218"/>
      <c r="X234" s="220"/>
    </row>
    <row r="235" spans="1:24" s="75" customFormat="1" ht="25.65" customHeight="1">
      <c r="A235" s="218"/>
      <c r="B235" s="221"/>
      <c r="C235" s="222"/>
      <c r="D235" s="223"/>
      <c r="E235" s="223"/>
      <c r="F235" s="223"/>
      <c r="G235" s="224"/>
      <c r="H235" s="209"/>
      <c r="I235" s="209"/>
      <c r="J235" s="209"/>
      <c r="K235" s="171"/>
      <c r="L235" s="225"/>
      <c r="M235" s="225"/>
      <c r="N235" s="230"/>
      <c r="O235" s="228"/>
      <c r="P235" s="231"/>
      <c r="Q235" s="228"/>
      <c r="R235" s="231"/>
      <c r="S235" s="229"/>
      <c r="T235" s="229"/>
      <c r="U235" s="217"/>
      <c r="V235" s="217"/>
      <c r="W235" s="218"/>
      <c r="X235" s="220"/>
    </row>
    <row r="236" spans="1:24" s="75" customFormat="1" ht="25.65" customHeight="1">
      <c r="A236" s="218"/>
      <c r="B236" s="221"/>
      <c r="C236" s="222"/>
      <c r="D236" s="223"/>
      <c r="E236" s="223"/>
      <c r="F236" s="223"/>
      <c r="G236" s="224"/>
      <c r="H236" s="209"/>
      <c r="I236" s="209"/>
      <c r="J236" s="209"/>
      <c r="K236" s="171"/>
      <c r="L236" s="225"/>
      <c r="M236" s="225"/>
      <c r="N236" s="230"/>
      <c r="O236" s="228"/>
      <c r="P236" s="231"/>
      <c r="Q236" s="228"/>
      <c r="R236" s="231"/>
      <c r="S236" s="229"/>
      <c r="T236" s="229"/>
      <c r="U236" s="217"/>
      <c r="V236" s="217"/>
      <c r="W236" s="218"/>
      <c r="X236" s="220"/>
    </row>
    <row r="237" spans="1:24" s="75" customFormat="1" ht="25.65" customHeight="1">
      <c r="A237" s="218"/>
      <c r="B237" s="221"/>
      <c r="C237" s="222"/>
      <c r="D237" s="223"/>
      <c r="E237" s="223"/>
      <c r="F237" s="223"/>
      <c r="G237" s="224"/>
      <c r="H237" s="209"/>
      <c r="I237" s="209"/>
      <c r="J237" s="209"/>
      <c r="K237" s="171"/>
      <c r="L237" s="225"/>
      <c r="M237" s="225"/>
      <c r="N237" s="230"/>
      <c r="O237" s="228"/>
      <c r="P237" s="231"/>
      <c r="Q237" s="228"/>
      <c r="R237" s="231"/>
      <c r="S237" s="229"/>
      <c r="T237" s="229"/>
      <c r="U237" s="217"/>
      <c r="V237" s="217"/>
      <c r="W237" s="218"/>
      <c r="X237" s="220"/>
    </row>
    <row r="238" spans="1:24" s="75" customFormat="1" ht="25.65" customHeight="1">
      <c r="A238" s="218"/>
      <c r="B238" s="221"/>
      <c r="C238" s="222"/>
      <c r="D238" s="223"/>
      <c r="E238" s="223"/>
      <c r="F238" s="223"/>
      <c r="G238" s="224"/>
      <c r="H238" s="209"/>
      <c r="I238" s="209"/>
      <c r="J238" s="209"/>
      <c r="K238" s="171"/>
      <c r="L238" s="225"/>
      <c r="M238" s="225"/>
      <c r="N238" s="230"/>
      <c r="O238" s="228"/>
      <c r="P238" s="231"/>
      <c r="Q238" s="228"/>
      <c r="R238" s="231"/>
      <c r="S238" s="229"/>
      <c r="T238" s="229"/>
      <c r="U238" s="217"/>
      <c r="V238" s="217"/>
      <c r="W238" s="218"/>
      <c r="X238" s="220"/>
    </row>
    <row r="239" spans="1:24" s="75" customFormat="1" ht="25.65" customHeight="1">
      <c r="A239" s="218"/>
      <c r="B239" s="221"/>
      <c r="C239" s="222"/>
      <c r="D239" s="223"/>
      <c r="E239" s="223"/>
      <c r="F239" s="223"/>
      <c r="G239" s="224"/>
      <c r="H239" s="209"/>
      <c r="I239" s="209"/>
      <c r="J239" s="209"/>
      <c r="K239" s="171"/>
      <c r="L239" s="225"/>
      <c r="M239" s="225"/>
      <c r="N239" s="230"/>
      <c r="O239" s="228"/>
      <c r="P239" s="231"/>
      <c r="Q239" s="228"/>
      <c r="R239" s="231"/>
      <c r="S239" s="229"/>
      <c r="T239" s="229"/>
      <c r="U239" s="217"/>
      <c r="V239" s="217"/>
      <c r="W239" s="218"/>
      <c r="X239" s="220"/>
    </row>
    <row r="240" spans="1:24" s="75" customFormat="1" ht="25.65" customHeight="1">
      <c r="A240" s="218"/>
      <c r="B240" s="221"/>
      <c r="C240" s="222"/>
      <c r="D240" s="223"/>
      <c r="E240" s="223"/>
      <c r="F240" s="223"/>
      <c r="G240" s="224"/>
      <c r="H240" s="209"/>
      <c r="I240" s="209"/>
      <c r="J240" s="209"/>
      <c r="K240" s="171"/>
      <c r="L240" s="225"/>
      <c r="M240" s="225"/>
      <c r="N240" s="230"/>
      <c r="O240" s="228"/>
      <c r="P240" s="231"/>
      <c r="Q240" s="228"/>
      <c r="R240" s="231"/>
      <c r="S240" s="229"/>
      <c r="T240" s="229"/>
      <c r="U240" s="217"/>
      <c r="V240" s="217"/>
      <c r="W240" s="218"/>
      <c r="X240" s="220"/>
    </row>
    <row r="241" spans="1:24" s="75" customFormat="1" ht="25.65" customHeight="1">
      <c r="A241" s="218"/>
      <c r="B241" s="221"/>
      <c r="C241" s="222"/>
      <c r="D241" s="223"/>
      <c r="E241" s="223"/>
      <c r="F241" s="223"/>
      <c r="G241" s="224"/>
      <c r="H241" s="209"/>
      <c r="I241" s="209"/>
      <c r="J241" s="209"/>
      <c r="K241" s="171"/>
      <c r="L241" s="225"/>
      <c r="M241" s="225"/>
      <c r="N241" s="230"/>
      <c r="O241" s="228"/>
      <c r="P241" s="231"/>
      <c r="Q241" s="228"/>
      <c r="R241" s="231"/>
      <c r="S241" s="229"/>
      <c r="T241" s="229"/>
      <c r="U241" s="217"/>
      <c r="V241" s="217"/>
      <c r="W241" s="218"/>
      <c r="X241" s="220"/>
    </row>
    <row r="242" spans="1:24" s="75" customFormat="1" ht="25.65" customHeight="1">
      <c r="A242" s="218"/>
      <c r="B242" s="221"/>
      <c r="C242" s="222"/>
      <c r="D242" s="223"/>
      <c r="E242" s="223"/>
      <c r="F242" s="223"/>
      <c r="G242" s="224"/>
      <c r="H242" s="209"/>
      <c r="I242" s="209"/>
      <c r="J242" s="209"/>
      <c r="K242" s="171"/>
      <c r="L242" s="225"/>
      <c r="M242" s="225"/>
      <c r="N242" s="230"/>
      <c r="O242" s="228"/>
      <c r="P242" s="231"/>
      <c r="Q242" s="228"/>
      <c r="R242" s="231"/>
      <c r="S242" s="229"/>
      <c r="T242" s="229"/>
      <c r="U242" s="217"/>
      <c r="V242" s="217"/>
      <c r="W242" s="218"/>
      <c r="X242" s="220"/>
    </row>
    <row r="243" spans="1:24" s="75" customFormat="1" ht="25.65" customHeight="1">
      <c r="A243" s="218"/>
      <c r="B243" s="221"/>
      <c r="C243" s="222"/>
      <c r="D243" s="223"/>
      <c r="E243" s="223"/>
      <c r="F243" s="223"/>
      <c r="G243" s="224"/>
      <c r="H243" s="209"/>
      <c r="I243" s="209"/>
      <c r="J243" s="209"/>
      <c r="K243" s="171"/>
      <c r="L243" s="225"/>
      <c r="M243" s="225"/>
      <c r="N243" s="230"/>
      <c r="O243" s="228"/>
      <c r="P243" s="231"/>
      <c r="Q243" s="228"/>
      <c r="R243" s="231"/>
      <c r="S243" s="229"/>
      <c r="T243" s="229"/>
      <c r="U243" s="217"/>
      <c r="V243" s="217"/>
      <c r="W243" s="218"/>
      <c r="X243" s="220"/>
    </row>
    <row r="244" spans="1:24" s="75" customFormat="1" ht="25.65" customHeight="1">
      <c r="A244" s="218"/>
      <c r="B244" s="221"/>
      <c r="C244" s="222"/>
      <c r="D244" s="223"/>
      <c r="E244" s="223"/>
      <c r="F244" s="223"/>
      <c r="G244" s="224"/>
      <c r="H244" s="209"/>
      <c r="I244" s="209"/>
      <c r="J244" s="209"/>
      <c r="K244" s="171"/>
      <c r="L244" s="225"/>
      <c r="M244" s="225"/>
      <c r="N244" s="230"/>
      <c r="O244" s="228"/>
      <c r="P244" s="231"/>
      <c r="Q244" s="228"/>
      <c r="R244" s="231"/>
      <c r="S244" s="229"/>
      <c r="T244" s="229"/>
      <c r="U244" s="217"/>
      <c r="V244" s="217"/>
      <c r="W244" s="218"/>
      <c r="X244" s="220"/>
    </row>
    <row r="245" spans="1:24" s="75" customFormat="1" ht="25.65" customHeight="1">
      <c r="A245" s="218"/>
      <c r="B245" s="221"/>
      <c r="C245" s="222"/>
      <c r="D245" s="223"/>
      <c r="E245" s="223"/>
      <c r="F245" s="223"/>
      <c r="G245" s="224"/>
      <c r="H245" s="209"/>
      <c r="I245" s="209"/>
      <c r="J245" s="209"/>
      <c r="K245" s="171"/>
      <c r="L245" s="225"/>
      <c r="M245" s="225"/>
      <c r="N245" s="230"/>
      <c r="O245" s="228"/>
      <c r="P245" s="231"/>
      <c r="Q245" s="228"/>
      <c r="R245" s="231"/>
      <c r="S245" s="229"/>
      <c r="T245" s="229"/>
      <c r="U245" s="217"/>
      <c r="V245" s="217"/>
      <c r="W245" s="218"/>
      <c r="X245" s="220"/>
    </row>
    <row r="246" spans="1:24" s="75" customFormat="1" ht="25.65" customHeight="1">
      <c r="A246" s="218"/>
      <c r="B246" s="221"/>
      <c r="C246" s="222"/>
      <c r="D246" s="223"/>
      <c r="E246" s="223"/>
      <c r="F246" s="223"/>
      <c r="G246" s="224"/>
      <c r="H246" s="209"/>
      <c r="I246" s="209"/>
      <c r="J246" s="209"/>
      <c r="K246" s="171"/>
      <c r="L246" s="225"/>
      <c r="M246" s="225"/>
      <c r="N246" s="230"/>
      <c r="O246" s="228"/>
      <c r="P246" s="231"/>
      <c r="Q246" s="228"/>
      <c r="R246" s="231"/>
      <c r="S246" s="229"/>
      <c r="T246" s="229"/>
      <c r="U246" s="217"/>
      <c r="V246" s="217"/>
      <c r="W246" s="218"/>
      <c r="X246" s="220"/>
    </row>
    <row r="247" spans="1:24" s="75" customFormat="1" ht="25.65" customHeight="1">
      <c r="A247" s="218"/>
      <c r="B247" s="221"/>
      <c r="C247" s="222"/>
      <c r="D247" s="223"/>
      <c r="E247" s="223"/>
      <c r="F247" s="223"/>
      <c r="G247" s="224"/>
      <c r="H247" s="209"/>
      <c r="I247" s="209"/>
      <c r="J247" s="209"/>
      <c r="K247" s="171"/>
      <c r="L247" s="225"/>
      <c r="M247" s="225"/>
      <c r="N247" s="230"/>
      <c r="O247" s="228"/>
      <c r="P247" s="231"/>
      <c r="Q247" s="228"/>
      <c r="R247" s="231"/>
      <c r="S247" s="229"/>
      <c r="T247" s="229"/>
      <c r="U247" s="217"/>
      <c r="V247" s="217"/>
      <c r="W247" s="218"/>
      <c r="X247" s="220"/>
    </row>
    <row r="248" spans="1:24" s="75" customFormat="1" ht="25.65" customHeight="1">
      <c r="A248" s="218"/>
      <c r="B248" s="221"/>
      <c r="C248" s="222"/>
      <c r="D248" s="223"/>
      <c r="E248" s="223"/>
      <c r="F248" s="223"/>
      <c r="G248" s="224"/>
      <c r="H248" s="209"/>
      <c r="I248" s="209"/>
      <c r="J248" s="209"/>
      <c r="K248" s="171"/>
      <c r="L248" s="225"/>
      <c r="M248" s="225"/>
      <c r="N248" s="230"/>
      <c r="O248" s="228"/>
      <c r="P248" s="231"/>
      <c r="Q248" s="228"/>
      <c r="R248" s="231"/>
      <c r="S248" s="229"/>
      <c r="T248" s="229"/>
      <c r="U248" s="217"/>
      <c r="V248" s="217"/>
      <c r="W248" s="218"/>
      <c r="X248" s="220"/>
    </row>
    <row r="249" spans="1:24" s="75" customFormat="1" ht="25.65" customHeight="1">
      <c r="A249" s="218"/>
      <c r="B249" s="221"/>
      <c r="C249" s="222"/>
      <c r="D249" s="223"/>
      <c r="E249" s="223"/>
      <c r="F249" s="223"/>
      <c r="G249" s="224"/>
      <c r="H249" s="209"/>
      <c r="I249" s="209"/>
      <c r="J249" s="209"/>
      <c r="K249" s="171"/>
      <c r="L249" s="225"/>
      <c r="M249" s="225"/>
      <c r="N249" s="230"/>
      <c r="O249" s="228"/>
      <c r="P249" s="231"/>
      <c r="Q249" s="228"/>
      <c r="R249" s="231"/>
      <c r="S249" s="229"/>
      <c r="T249" s="229"/>
      <c r="U249" s="217"/>
      <c r="V249" s="217"/>
      <c r="W249" s="218"/>
      <c r="X249" s="220"/>
    </row>
    <row r="250" spans="1:24" s="75" customFormat="1" ht="25.65" customHeight="1">
      <c r="A250" s="218"/>
      <c r="B250" s="221"/>
      <c r="C250" s="222"/>
      <c r="D250" s="223"/>
      <c r="E250" s="223"/>
      <c r="F250" s="223"/>
      <c r="G250" s="224"/>
      <c r="H250" s="209"/>
      <c r="I250" s="209"/>
      <c r="J250" s="209"/>
      <c r="K250" s="171"/>
      <c r="L250" s="225"/>
      <c r="M250" s="225"/>
      <c r="N250" s="230"/>
      <c r="O250" s="228"/>
      <c r="P250" s="231"/>
      <c r="Q250" s="228"/>
      <c r="R250" s="231"/>
      <c r="S250" s="229"/>
      <c r="T250" s="229"/>
      <c r="U250" s="217"/>
      <c r="V250" s="217"/>
      <c r="W250" s="218"/>
      <c r="X250" s="220"/>
    </row>
    <row r="251" spans="1:24" s="75" customFormat="1" ht="25.65" customHeight="1">
      <c r="A251" s="218"/>
      <c r="B251" s="221"/>
      <c r="C251" s="222"/>
      <c r="D251" s="223"/>
      <c r="E251" s="223"/>
      <c r="F251" s="223"/>
      <c r="G251" s="224"/>
      <c r="H251" s="209"/>
      <c r="I251" s="209"/>
      <c r="J251" s="209"/>
      <c r="K251" s="171"/>
      <c r="L251" s="225"/>
      <c r="M251" s="225"/>
      <c r="N251" s="230"/>
      <c r="O251" s="228"/>
      <c r="P251" s="231"/>
      <c r="Q251" s="228"/>
      <c r="R251" s="231"/>
      <c r="S251" s="229"/>
      <c r="T251" s="229"/>
      <c r="U251" s="217"/>
      <c r="V251" s="217"/>
      <c r="W251" s="218"/>
      <c r="X251" s="220"/>
    </row>
    <row r="252" spans="1:24" s="75" customFormat="1" ht="25.65" customHeight="1">
      <c r="A252" s="218"/>
      <c r="B252" s="221"/>
      <c r="C252" s="222"/>
      <c r="D252" s="223"/>
      <c r="E252" s="223"/>
      <c r="F252" s="223"/>
      <c r="G252" s="224"/>
      <c r="H252" s="209"/>
      <c r="I252" s="209"/>
      <c r="J252" s="209"/>
      <c r="K252" s="171"/>
      <c r="L252" s="225"/>
      <c r="M252" s="225"/>
      <c r="N252" s="230"/>
      <c r="O252" s="228"/>
      <c r="P252" s="231"/>
      <c r="Q252" s="228"/>
      <c r="R252" s="231"/>
      <c r="S252" s="229"/>
      <c r="T252" s="229"/>
      <c r="U252" s="217"/>
      <c r="V252" s="217"/>
      <c r="W252" s="218"/>
      <c r="X252" s="220"/>
    </row>
    <row r="253" spans="1:24" s="75" customFormat="1" ht="25.65" customHeight="1">
      <c r="A253" s="218"/>
      <c r="B253" s="221"/>
      <c r="C253" s="222"/>
      <c r="D253" s="223"/>
      <c r="E253" s="223"/>
      <c r="F253" s="223"/>
      <c r="G253" s="224"/>
      <c r="H253" s="209"/>
      <c r="I253" s="209"/>
      <c r="J253" s="209"/>
      <c r="K253" s="171"/>
      <c r="L253" s="225"/>
      <c r="M253" s="225"/>
      <c r="N253" s="230"/>
      <c r="O253" s="228"/>
      <c r="P253" s="231"/>
      <c r="Q253" s="228"/>
      <c r="R253" s="231"/>
      <c r="S253" s="229"/>
      <c r="T253" s="229"/>
      <c r="U253" s="217"/>
      <c r="V253" s="217"/>
      <c r="W253" s="218"/>
      <c r="X253" s="220"/>
    </row>
    <row r="254" spans="1:24" s="75" customFormat="1" ht="25.65" customHeight="1">
      <c r="A254" s="218"/>
      <c r="B254" s="221"/>
      <c r="C254" s="222"/>
      <c r="D254" s="223"/>
      <c r="E254" s="223"/>
      <c r="F254" s="223"/>
      <c r="G254" s="224"/>
      <c r="H254" s="209"/>
      <c r="I254" s="209"/>
      <c r="J254" s="209"/>
      <c r="K254" s="171"/>
      <c r="L254" s="225"/>
      <c r="M254" s="225"/>
      <c r="N254" s="230"/>
      <c r="O254" s="228"/>
      <c r="P254" s="231"/>
      <c r="Q254" s="228"/>
      <c r="R254" s="231"/>
      <c r="S254" s="229"/>
      <c r="T254" s="229"/>
      <c r="U254" s="217"/>
      <c r="V254" s="217"/>
      <c r="W254" s="218"/>
      <c r="X254" s="220"/>
    </row>
    <row r="255" spans="1:24" s="75" customFormat="1" ht="25.65" customHeight="1">
      <c r="A255" s="218"/>
      <c r="B255" s="221"/>
      <c r="C255" s="222"/>
      <c r="D255" s="223"/>
      <c r="E255" s="223"/>
      <c r="F255" s="223"/>
      <c r="G255" s="224"/>
      <c r="H255" s="209"/>
      <c r="I255" s="209"/>
      <c r="J255" s="209"/>
      <c r="K255" s="171"/>
      <c r="L255" s="225"/>
      <c r="M255" s="225"/>
      <c r="N255" s="230"/>
      <c r="O255" s="228"/>
      <c r="P255" s="231"/>
      <c r="Q255" s="228"/>
      <c r="R255" s="231"/>
      <c r="S255" s="229"/>
      <c r="T255" s="229"/>
      <c r="U255" s="217"/>
      <c r="V255" s="217"/>
      <c r="W255" s="218"/>
      <c r="X255" s="220"/>
    </row>
    <row r="256" spans="1:24" s="75" customFormat="1" ht="25.65" customHeight="1">
      <c r="A256" s="218"/>
      <c r="B256" s="221"/>
      <c r="C256" s="222"/>
      <c r="D256" s="223"/>
      <c r="E256" s="223"/>
      <c r="F256" s="223"/>
      <c r="G256" s="224"/>
      <c r="H256" s="209"/>
      <c r="I256" s="209"/>
      <c r="J256" s="209"/>
      <c r="K256" s="171"/>
      <c r="L256" s="225"/>
      <c r="M256" s="225"/>
      <c r="N256" s="230"/>
      <c r="O256" s="228"/>
      <c r="P256" s="231"/>
      <c r="Q256" s="228"/>
      <c r="R256" s="231"/>
      <c r="S256" s="229"/>
      <c r="T256" s="229"/>
      <c r="U256" s="217"/>
      <c r="V256" s="217"/>
      <c r="W256" s="218"/>
      <c r="X256" s="220"/>
    </row>
    <row r="257" spans="1:24" s="75" customFormat="1" ht="25.65" customHeight="1">
      <c r="A257" s="218"/>
      <c r="B257" s="221"/>
      <c r="C257" s="222"/>
      <c r="D257" s="223"/>
      <c r="E257" s="223"/>
      <c r="F257" s="223"/>
      <c r="G257" s="224"/>
      <c r="H257" s="209"/>
      <c r="I257" s="209"/>
      <c r="J257" s="209"/>
      <c r="K257" s="171"/>
      <c r="L257" s="225"/>
      <c r="M257" s="225"/>
      <c r="N257" s="230"/>
      <c r="O257" s="228"/>
      <c r="P257" s="231"/>
      <c r="Q257" s="228"/>
      <c r="R257" s="231"/>
      <c r="S257" s="229"/>
      <c r="T257" s="229"/>
      <c r="U257" s="217"/>
      <c r="V257" s="217"/>
      <c r="W257" s="218"/>
      <c r="X257" s="220"/>
    </row>
    <row r="258" spans="1:24" s="75" customFormat="1" ht="25.65" customHeight="1">
      <c r="A258" s="218"/>
      <c r="B258" s="221"/>
      <c r="C258" s="222"/>
      <c r="D258" s="223"/>
      <c r="E258" s="223"/>
      <c r="F258" s="223"/>
      <c r="G258" s="224"/>
      <c r="H258" s="209"/>
      <c r="I258" s="209"/>
      <c r="J258" s="209"/>
      <c r="K258" s="171"/>
      <c r="L258" s="225"/>
      <c r="M258" s="225"/>
      <c r="N258" s="230"/>
      <c r="O258" s="228"/>
      <c r="P258" s="231"/>
      <c r="Q258" s="228"/>
      <c r="R258" s="231"/>
      <c r="S258" s="229"/>
      <c r="T258" s="229"/>
      <c r="U258" s="217"/>
      <c r="V258" s="217"/>
      <c r="W258" s="218"/>
      <c r="X258" s="220"/>
    </row>
    <row r="259" spans="1:24" s="75" customFormat="1" ht="25.65" customHeight="1">
      <c r="A259" s="218"/>
      <c r="B259" s="221"/>
      <c r="C259" s="222"/>
      <c r="D259" s="223"/>
      <c r="E259" s="223"/>
      <c r="F259" s="223"/>
      <c r="G259" s="224"/>
      <c r="H259" s="209"/>
      <c r="I259" s="209"/>
      <c r="J259" s="209"/>
      <c r="K259" s="171"/>
      <c r="L259" s="225"/>
      <c r="M259" s="225"/>
      <c r="N259" s="230"/>
      <c r="O259" s="228"/>
      <c r="P259" s="231"/>
      <c r="Q259" s="228"/>
      <c r="R259" s="231"/>
      <c r="S259" s="229"/>
      <c r="T259" s="229"/>
      <c r="U259" s="217"/>
      <c r="V259" s="217"/>
      <c r="W259" s="218"/>
      <c r="X259" s="220"/>
    </row>
    <row r="260" spans="1:24" s="75" customFormat="1" ht="25.65" customHeight="1">
      <c r="A260" s="218"/>
      <c r="B260" s="221"/>
      <c r="C260" s="222"/>
      <c r="D260" s="223"/>
      <c r="E260" s="223"/>
      <c r="F260" s="223"/>
      <c r="G260" s="224"/>
      <c r="H260" s="209"/>
      <c r="I260" s="209"/>
      <c r="J260" s="209"/>
      <c r="K260" s="171"/>
      <c r="L260" s="225"/>
      <c r="M260" s="225"/>
      <c r="N260" s="230"/>
      <c r="O260" s="228"/>
      <c r="P260" s="231"/>
      <c r="Q260" s="228"/>
      <c r="R260" s="231"/>
      <c r="S260" s="229"/>
      <c r="T260" s="229"/>
      <c r="U260" s="217"/>
      <c r="V260" s="217"/>
      <c r="W260" s="218"/>
      <c r="X260" s="220"/>
    </row>
    <row r="261" spans="1:24" s="75" customFormat="1" ht="25.65" customHeight="1">
      <c r="A261" s="218"/>
      <c r="B261" s="221"/>
      <c r="C261" s="222"/>
      <c r="D261" s="223"/>
      <c r="E261" s="223"/>
      <c r="F261" s="223"/>
      <c r="G261" s="224"/>
      <c r="H261" s="209"/>
      <c r="I261" s="209"/>
      <c r="J261" s="209"/>
      <c r="K261" s="171"/>
      <c r="L261" s="225"/>
      <c r="M261" s="225"/>
      <c r="N261" s="230"/>
      <c r="O261" s="228"/>
      <c r="P261" s="231"/>
      <c r="Q261" s="228"/>
      <c r="R261" s="231"/>
      <c r="S261" s="229"/>
      <c r="T261" s="229"/>
      <c r="U261" s="217"/>
      <c r="V261" s="217"/>
      <c r="W261" s="218"/>
      <c r="X261" s="220"/>
    </row>
    <row r="262" spans="1:24" s="75" customFormat="1" ht="25.65" customHeight="1">
      <c r="A262" s="218"/>
      <c r="B262" s="221"/>
      <c r="C262" s="222"/>
      <c r="D262" s="223"/>
      <c r="E262" s="223"/>
      <c r="F262" s="223"/>
      <c r="G262" s="224"/>
      <c r="H262" s="209"/>
      <c r="I262" s="209"/>
      <c r="J262" s="209"/>
      <c r="K262" s="171"/>
      <c r="L262" s="225"/>
      <c r="M262" s="225"/>
      <c r="N262" s="230"/>
      <c r="O262" s="228"/>
      <c r="P262" s="231"/>
      <c r="Q262" s="228"/>
      <c r="R262" s="231"/>
      <c r="S262" s="229"/>
      <c r="T262" s="229"/>
      <c r="U262" s="217"/>
      <c r="V262" s="217"/>
      <c r="W262" s="218"/>
      <c r="X262" s="220"/>
    </row>
    <row r="263" spans="1:24" s="75" customFormat="1" ht="25.65" customHeight="1">
      <c r="A263" s="218"/>
      <c r="B263" s="221"/>
      <c r="C263" s="222"/>
      <c r="D263" s="223"/>
      <c r="E263" s="223"/>
      <c r="F263" s="223"/>
      <c r="G263" s="224"/>
      <c r="H263" s="209"/>
      <c r="I263" s="209"/>
      <c r="J263" s="209"/>
      <c r="K263" s="171"/>
      <c r="L263" s="225"/>
      <c r="M263" s="225"/>
      <c r="N263" s="230"/>
      <c r="O263" s="228"/>
      <c r="P263" s="231"/>
      <c r="Q263" s="228"/>
      <c r="R263" s="231"/>
      <c r="S263" s="229"/>
      <c r="T263" s="229"/>
      <c r="U263" s="217"/>
      <c r="V263" s="217"/>
      <c r="W263" s="218"/>
      <c r="X263" s="220"/>
    </row>
    <row r="264" spans="1:24" s="75" customFormat="1" ht="25.65" customHeight="1">
      <c r="A264" s="218"/>
      <c r="B264" s="221"/>
      <c r="C264" s="222"/>
      <c r="D264" s="223"/>
      <c r="E264" s="223"/>
      <c r="F264" s="223"/>
      <c r="G264" s="224"/>
      <c r="H264" s="209"/>
      <c r="I264" s="209"/>
      <c r="J264" s="209"/>
      <c r="K264" s="171"/>
      <c r="L264" s="225"/>
      <c r="M264" s="225"/>
      <c r="N264" s="230"/>
      <c r="O264" s="228"/>
      <c r="P264" s="231"/>
      <c r="Q264" s="228"/>
      <c r="R264" s="231"/>
      <c r="S264" s="229"/>
      <c r="T264" s="229"/>
      <c r="U264" s="217"/>
      <c r="V264" s="217"/>
      <c r="W264" s="218"/>
      <c r="X264" s="220"/>
    </row>
    <row r="265" spans="1:24" s="75" customFormat="1" ht="25.65" customHeight="1">
      <c r="A265" s="218"/>
      <c r="B265" s="221"/>
      <c r="C265" s="222"/>
      <c r="D265" s="223"/>
      <c r="E265" s="223"/>
      <c r="F265" s="223"/>
      <c r="G265" s="224"/>
      <c r="H265" s="209"/>
      <c r="I265" s="209"/>
      <c r="J265" s="209"/>
      <c r="K265" s="171"/>
      <c r="L265" s="225"/>
      <c r="M265" s="225"/>
      <c r="N265" s="230"/>
      <c r="O265" s="228"/>
      <c r="P265" s="231"/>
      <c r="Q265" s="228"/>
      <c r="R265" s="231"/>
      <c r="S265" s="229"/>
      <c r="T265" s="229"/>
      <c r="U265" s="217"/>
      <c r="V265" s="217"/>
      <c r="W265" s="218"/>
      <c r="X265" s="220"/>
    </row>
    <row r="266" spans="1:24" s="75" customFormat="1" ht="25.65" customHeight="1">
      <c r="A266" s="218"/>
      <c r="B266" s="221"/>
      <c r="C266" s="222"/>
      <c r="D266" s="223"/>
      <c r="E266" s="223"/>
      <c r="F266" s="223"/>
      <c r="G266" s="224"/>
      <c r="H266" s="209"/>
      <c r="I266" s="209"/>
      <c r="J266" s="209"/>
      <c r="K266" s="171"/>
      <c r="L266" s="225"/>
      <c r="M266" s="225"/>
      <c r="N266" s="230"/>
      <c r="O266" s="228"/>
      <c r="P266" s="231"/>
      <c r="Q266" s="228"/>
      <c r="R266" s="231"/>
      <c r="S266" s="229"/>
      <c r="T266" s="229"/>
      <c r="U266" s="217"/>
      <c r="V266" s="217"/>
      <c r="W266" s="218"/>
      <c r="X266" s="220"/>
    </row>
    <row r="267" spans="1:24" s="75" customFormat="1" ht="25.65" customHeight="1">
      <c r="A267" s="218"/>
      <c r="B267" s="221"/>
      <c r="C267" s="222"/>
      <c r="D267" s="223"/>
      <c r="E267" s="223"/>
      <c r="F267" s="223"/>
      <c r="G267" s="224"/>
      <c r="H267" s="209"/>
      <c r="I267" s="209"/>
      <c r="J267" s="209"/>
      <c r="K267" s="171"/>
      <c r="L267" s="225"/>
      <c r="M267" s="225"/>
      <c r="N267" s="230"/>
      <c r="O267" s="228"/>
      <c r="P267" s="231"/>
      <c r="Q267" s="228"/>
      <c r="R267" s="231"/>
      <c r="S267" s="229"/>
      <c r="T267" s="229"/>
      <c r="U267" s="217"/>
      <c r="V267" s="217"/>
      <c r="W267" s="218"/>
      <c r="X267" s="220"/>
    </row>
    <row r="268" spans="1:24" s="75" customFormat="1" ht="25.65" customHeight="1">
      <c r="A268" s="218"/>
      <c r="B268" s="221"/>
      <c r="C268" s="222"/>
      <c r="D268" s="223"/>
      <c r="E268" s="223"/>
      <c r="F268" s="223"/>
      <c r="G268" s="224"/>
      <c r="H268" s="209"/>
      <c r="I268" s="209"/>
      <c r="J268" s="209"/>
      <c r="K268" s="171"/>
      <c r="L268" s="225"/>
      <c r="M268" s="225"/>
      <c r="N268" s="230"/>
      <c r="O268" s="228"/>
      <c r="P268" s="231"/>
      <c r="Q268" s="228"/>
      <c r="R268" s="231"/>
      <c r="S268" s="229"/>
      <c r="T268" s="229"/>
      <c r="U268" s="217"/>
      <c r="V268" s="217"/>
      <c r="W268" s="218"/>
      <c r="X268" s="220"/>
    </row>
    <row r="269" spans="1:24" s="75" customFormat="1" ht="25.65" customHeight="1">
      <c r="A269" s="218"/>
      <c r="B269" s="221"/>
      <c r="C269" s="222"/>
      <c r="D269" s="223"/>
      <c r="E269" s="223"/>
      <c r="F269" s="223"/>
      <c r="G269" s="224"/>
      <c r="H269" s="209"/>
      <c r="I269" s="209"/>
      <c r="J269" s="209"/>
      <c r="K269" s="171"/>
      <c r="L269" s="225"/>
      <c r="M269" s="225"/>
      <c r="N269" s="230"/>
      <c r="O269" s="228"/>
      <c r="P269" s="231"/>
      <c r="Q269" s="228"/>
      <c r="R269" s="231"/>
      <c r="S269" s="229"/>
      <c r="T269" s="229"/>
      <c r="U269" s="217"/>
      <c r="V269" s="217"/>
      <c r="W269" s="218"/>
      <c r="X269" s="220"/>
    </row>
    <row r="270" spans="1:24" s="75" customFormat="1" ht="25.65" customHeight="1">
      <c r="A270" s="218"/>
      <c r="B270" s="221"/>
      <c r="C270" s="222"/>
      <c r="D270" s="223"/>
      <c r="E270" s="223"/>
      <c r="F270" s="223"/>
      <c r="G270" s="224"/>
      <c r="H270" s="209"/>
      <c r="I270" s="209"/>
      <c r="J270" s="209"/>
      <c r="K270" s="171"/>
      <c r="L270" s="225"/>
      <c r="M270" s="225"/>
      <c r="N270" s="230"/>
      <c r="O270" s="228"/>
      <c r="P270" s="231"/>
      <c r="Q270" s="228"/>
      <c r="R270" s="231"/>
      <c r="S270" s="229"/>
      <c r="T270" s="229"/>
      <c r="U270" s="217"/>
      <c r="V270" s="217"/>
      <c r="W270" s="218"/>
      <c r="X270" s="220"/>
    </row>
    <row r="271" spans="1:24" s="75" customFormat="1" ht="25.65" customHeight="1">
      <c r="A271" s="218"/>
      <c r="B271" s="221"/>
      <c r="C271" s="222"/>
      <c r="D271" s="223"/>
      <c r="E271" s="223"/>
      <c r="F271" s="223"/>
      <c r="G271" s="224"/>
      <c r="H271" s="209"/>
      <c r="I271" s="209"/>
      <c r="J271" s="209"/>
      <c r="K271" s="171"/>
      <c r="L271" s="225"/>
      <c r="M271" s="225"/>
      <c r="N271" s="230"/>
      <c r="O271" s="228"/>
      <c r="P271" s="231"/>
      <c r="Q271" s="228"/>
      <c r="R271" s="231"/>
      <c r="S271" s="229"/>
      <c r="T271" s="229"/>
      <c r="U271" s="217"/>
      <c r="V271" s="217"/>
      <c r="W271" s="218"/>
      <c r="X271" s="220"/>
    </row>
    <row r="272" spans="1:24" s="75" customFormat="1" ht="25.65" customHeight="1">
      <c r="A272" s="218"/>
      <c r="B272" s="221"/>
      <c r="C272" s="222"/>
      <c r="D272" s="223"/>
      <c r="E272" s="223"/>
      <c r="F272" s="223"/>
      <c r="G272" s="224"/>
      <c r="H272" s="209"/>
      <c r="I272" s="209"/>
      <c r="J272" s="209"/>
      <c r="K272" s="171"/>
      <c r="L272" s="225"/>
      <c r="M272" s="225"/>
      <c r="N272" s="230"/>
      <c r="O272" s="228"/>
      <c r="P272" s="231"/>
      <c r="Q272" s="228"/>
      <c r="R272" s="231"/>
      <c r="S272" s="229"/>
      <c r="T272" s="229"/>
      <c r="U272" s="217"/>
      <c r="V272" s="217"/>
      <c r="W272" s="218"/>
      <c r="X272" s="220"/>
    </row>
    <row r="273" spans="1:24" s="75" customFormat="1" ht="25.65" customHeight="1">
      <c r="A273" s="218"/>
      <c r="B273" s="221"/>
      <c r="C273" s="222"/>
      <c r="D273" s="223"/>
      <c r="E273" s="223"/>
      <c r="F273" s="223"/>
      <c r="G273" s="224"/>
      <c r="H273" s="209"/>
      <c r="I273" s="209"/>
      <c r="J273" s="209"/>
      <c r="K273" s="171"/>
      <c r="L273" s="225"/>
      <c r="M273" s="225"/>
      <c r="N273" s="230"/>
      <c r="O273" s="228"/>
      <c r="P273" s="231"/>
      <c r="Q273" s="228"/>
      <c r="R273" s="231"/>
      <c r="S273" s="229"/>
      <c r="T273" s="229"/>
      <c r="U273" s="217"/>
      <c r="V273" s="217"/>
      <c r="W273" s="218"/>
      <c r="X273" s="220"/>
    </row>
    <row r="274" spans="1:24" s="75" customFormat="1" ht="25.65" customHeight="1">
      <c r="A274" s="218"/>
      <c r="B274" s="221"/>
      <c r="C274" s="222"/>
      <c r="D274" s="223"/>
      <c r="E274" s="223"/>
      <c r="F274" s="223"/>
      <c r="G274" s="224"/>
      <c r="H274" s="209"/>
      <c r="I274" s="209"/>
      <c r="J274" s="209"/>
      <c r="K274" s="171"/>
      <c r="L274" s="225"/>
      <c r="M274" s="225"/>
      <c r="N274" s="230"/>
      <c r="O274" s="228"/>
      <c r="P274" s="231"/>
      <c r="Q274" s="228"/>
      <c r="R274" s="231"/>
      <c r="S274" s="229"/>
      <c r="T274" s="229"/>
      <c r="U274" s="217"/>
      <c r="V274" s="217"/>
      <c r="W274" s="218"/>
      <c r="X274" s="220"/>
    </row>
    <row r="275" spans="1:24" s="75" customFormat="1" ht="25.65" customHeight="1">
      <c r="A275" s="218"/>
      <c r="B275" s="221"/>
      <c r="C275" s="222"/>
      <c r="D275" s="223"/>
      <c r="E275" s="223"/>
      <c r="F275" s="223"/>
      <c r="G275" s="224"/>
      <c r="H275" s="209"/>
      <c r="I275" s="209"/>
      <c r="J275" s="209"/>
      <c r="K275" s="171"/>
      <c r="L275" s="225"/>
      <c r="M275" s="225"/>
      <c r="N275" s="230"/>
      <c r="O275" s="228"/>
      <c r="P275" s="231"/>
      <c r="Q275" s="228"/>
      <c r="R275" s="231"/>
      <c r="S275" s="229"/>
      <c r="T275" s="229"/>
      <c r="U275" s="217"/>
      <c r="V275" s="217"/>
      <c r="W275" s="218"/>
      <c r="X275" s="220"/>
    </row>
    <row r="276" spans="1:24" s="75" customFormat="1" ht="25.65" customHeight="1">
      <c r="A276" s="218"/>
      <c r="B276" s="221"/>
      <c r="C276" s="222"/>
      <c r="D276" s="223"/>
      <c r="E276" s="223"/>
      <c r="F276" s="223"/>
      <c r="G276" s="224"/>
      <c r="H276" s="209"/>
      <c r="I276" s="209"/>
      <c r="J276" s="209"/>
      <c r="K276" s="171"/>
      <c r="L276" s="225"/>
      <c r="M276" s="225"/>
      <c r="N276" s="230"/>
      <c r="O276" s="228"/>
      <c r="P276" s="231"/>
      <c r="Q276" s="228"/>
      <c r="R276" s="231"/>
      <c r="S276" s="229"/>
      <c r="T276" s="229"/>
      <c r="U276" s="217"/>
      <c r="V276" s="217"/>
      <c r="W276" s="218"/>
      <c r="X276" s="220"/>
    </row>
    <row r="277" spans="1:24" s="75" customFormat="1" ht="25.65" customHeight="1">
      <c r="A277" s="218"/>
      <c r="B277" s="221"/>
      <c r="C277" s="222"/>
      <c r="D277" s="223"/>
      <c r="E277" s="223"/>
      <c r="F277" s="223"/>
      <c r="G277" s="224"/>
      <c r="H277" s="209"/>
      <c r="I277" s="209"/>
      <c r="J277" s="209"/>
      <c r="K277" s="171"/>
      <c r="L277" s="225"/>
      <c r="M277" s="225"/>
      <c r="N277" s="230"/>
      <c r="O277" s="228"/>
      <c r="P277" s="231"/>
      <c r="Q277" s="228"/>
      <c r="R277" s="231"/>
      <c r="S277" s="229"/>
      <c r="T277" s="229"/>
      <c r="U277" s="217"/>
      <c r="V277" s="217"/>
      <c r="W277" s="218"/>
      <c r="X277" s="220"/>
    </row>
    <row r="278" spans="1:24" s="75" customFormat="1" ht="25.65" customHeight="1">
      <c r="A278" s="218"/>
      <c r="B278" s="221"/>
      <c r="C278" s="222"/>
      <c r="D278" s="223"/>
      <c r="E278" s="223"/>
      <c r="F278" s="223"/>
      <c r="G278" s="224"/>
      <c r="H278" s="209"/>
      <c r="I278" s="209"/>
      <c r="J278" s="209"/>
      <c r="K278" s="171"/>
      <c r="L278" s="225"/>
      <c r="M278" s="225"/>
      <c r="N278" s="230"/>
      <c r="O278" s="228"/>
      <c r="P278" s="231"/>
      <c r="Q278" s="228"/>
      <c r="R278" s="231"/>
      <c r="S278" s="229"/>
      <c r="T278" s="229"/>
      <c r="U278" s="217"/>
      <c r="V278" s="217"/>
      <c r="W278" s="218"/>
      <c r="X278" s="220"/>
    </row>
    <row r="279" spans="1:24" s="75" customFormat="1" ht="25.65" customHeight="1">
      <c r="A279" s="218"/>
      <c r="B279" s="221"/>
      <c r="C279" s="222"/>
      <c r="D279" s="223"/>
      <c r="E279" s="223"/>
      <c r="F279" s="223"/>
      <c r="G279" s="224"/>
      <c r="H279" s="209"/>
      <c r="I279" s="209"/>
      <c r="J279" s="209"/>
      <c r="K279" s="171"/>
      <c r="L279" s="225"/>
      <c r="M279" s="225"/>
      <c r="N279" s="230"/>
      <c r="O279" s="228"/>
      <c r="P279" s="231"/>
      <c r="Q279" s="228"/>
      <c r="R279" s="231"/>
      <c r="S279" s="229"/>
      <c r="T279" s="229"/>
      <c r="U279" s="217"/>
      <c r="V279" s="217"/>
      <c r="W279" s="218"/>
      <c r="X279" s="220"/>
    </row>
    <row r="280" spans="1:24" s="75" customFormat="1" ht="25.65" customHeight="1">
      <c r="A280" s="218"/>
      <c r="B280" s="221"/>
      <c r="C280" s="222"/>
      <c r="D280" s="223"/>
      <c r="E280" s="223"/>
      <c r="F280" s="223"/>
      <c r="G280" s="224"/>
      <c r="H280" s="209"/>
      <c r="I280" s="209"/>
      <c r="J280" s="209"/>
      <c r="K280" s="171"/>
      <c r="L280" s="225"/>
      <c r="M280" s="225"/>
      <c r="N280" s="230"/>
      <c r="O280" s="228"/>
      <c r="P280" s="231"/>
      <c r="Q280" s="228"/>
      <c r="R280" s="231"/>
      <c r="S280" s="229"/>
      <c r="T280" s="229"/>
      <c r="U280" s="217"/>
      <c r="V280" s="217"/>
      <c r="W280" s="218"/>
      <c r="X280" s="220"/>
    </row>
    <row r="281" spans="1:24" s="75" customFormat="1" ht="25.65" customHeight="1">
      <c r="A281" s="218"/>
      <c r="B281" s="221"/>
      <c r="C281" s="222"/>
      <c r="D281" s="223"/>
      <c r="E281" s="223"/>
      <c r="F281" s="223"/>
      <c r="G281" s="224"/>
      <c r="H281" s="209"/>
      <c r="I281" s="209"/>
      <c r="J281" s="209"/>
      <c r="K281" s="171"/>
      <c r="L281" s="225"/>
      <c r="M281" s="225"/>
      <c r="N281" s="230"/>
      <c r="O281" s="228"/>
      <c r="P281" s="231"/>
      <c r="Q281" s="228"/>
      <c r="R281" s="231"/>
      <c r="S281" s="229"/>
      <c r="T281" s="229"/>
      <c r="U281" s="217"/>
      <c r="V281" s="217"/>
      <c r="W281" s="218"/>
      <c r="X281" s="220"/>
    </row>
    <row r="282" spans="1:24" s="75" customFormat="1" ht="25.65" customHeight="1">
      <c r="A282" s="218"/>
      <c r="B282" s="221"/>
      <c r="C282" s="222"/>
      <c r="D282" s="223"/>
      <c r="E282" s="223"/>
      <c r="F282" s="223"/>
      <c r="G282" s="224"/>
      <c r="H282" s="209"/>
      <c r="I282" s="209"/>
      <c r="J282" s="209"/>
      <c r="K282" s="171"/>
      <c r="L282" s="225"/>
      <c r="M282" s="225"/>
      <c r="N282" s="230"/>
      <c r="O282" s="228"/>
      <c r="P282" s="231"/>
      <c r="Q282" s="228"/>
      <c r="R282" s="231"/>
      <c r="S282" s="229"/>
      <c r="T282" s="229"/>
      <c r="U282" s="217"/>
      <c r="V282" s="217"/>
      <c r="W282" s="218"/>
      <c r="X282" s="220"/>
    </row>
    <row r="283" spans="1:24" s="75" customFormat="1" ht="25.65" customHeight="1">
      <c r="A283" s="218"/>
      <c r="B283" s="221"/>
      <c r="C283" s="222"/>
      <c r="D283" s="223"/>
      <c r="E283" s="223"/>
      <c r="F283" s="223"/>
      <c r="G283" s="224"/>
      <c r="H283" s="209"/>
      <c r="I283" s="209"/>
      <c r="J283" s="209"/>
      <c r="K283" s="171"/>
      <c r="L283" s="225"/>
      <c r="M283" s="225"/>
      <c r="N283" s="230"/>
      <c r="O283" s="228"/>
      <c r="P283" s="231"/>
      <c r="Q283" s="228"/>
      <c r="R283" s="231"/>
      <c r="S283" s="229"/>
      <c r="T283" s="229"/>
      <c r="U283" s="217"/>
      <c r="V283" s="217"/>
      <c r="W283" s="218"/>
      <c r="X283" s="220"/>
    </row>
    <row r="284" spans="1:24" s="75" customFormat="1" ht="25.65" customHeight="1">
      <c r="A284" s="218"/>
      <c r="B284" s="221"/>
      <c r="C284" s="222"/>
      <c r="D284" s="223"/>
      <c r="E284" s="223"/>
      <c r="F284" s="223"/>
      <c r="G284" s="224"/>
      <c r="H284" s="209"/>
      <c r="I284" s="209"/>
      <c r="J284" s="209"/>
      <c r="K284" s="171"/>
      <c r="L284" s="225"/>
      <c r="M284" s="225"/>
      <c r="N284" s="230"/>
      <c r="O284" s="228"/>
      <c r="P284" s="231"/>
      <c r="Q284" s="228"/>
      <c r="R284" s="231"/>
      <c r="S284" s="229"/>
      <c r="T284" s="229"/>
      <c r="U284" s="217"/>
      <c r="V284" s="217"/>
      <c r="W284" s="218"/>
      <c r="X284" s="220"/>
    </row>
    <row r="285" spans="1:24" s="75" customFormat="1" ht="25.65" customHeight="1">
      <c r="A285" s="218"/>
      <c r="B285" s="221"/>
      <c r="C285" s="222"/>
      <c r="D285" s="223"/>
      <c r="E285" s="223"/>
      <c r="F285" s="223"/>
      <c r="G285" s="224"/>
      <c r="H285" s="209"/>
      <c r="I285" s="209"/>
      <c r="J285" s="209"/>
      <c r="K285" s="171"/>
      <c r="L285" s="225"/>
      <c r="M285" s="225"/>
      <c r="N285" s="230"/>
      <c r="O285" s="228"/>
      <c r="P285" s="231"/>
      <c r="Q285" s="228"/>
      <c r="R285" s="231"/>
      <c r="S285" s="229"/>
      <c r="T285" s="229"/>
      <c r="U285" s="217"/>
      <c r="V285" s="217"/>
      <c r="W285" s="218"/>
      <c r="X285" s="220"/>
    </row>
    <row r="286" spans="1:24" s="75" customFormat="1" ht="25.65" customHeight="1">
      <c r="A286" s="218"/>
      <c r="B286" s="221"/>
      <c r="C286" s="222"/>
      <c r="D286" s="223"/>
      <c r="E286" s="223"/>
      <c r="F286" s="223"/>
      <c r="G286" s="224"/>
      <c r="H286" s="209"/>
      <c r="I286" s="209"/>
      <c r="J286" s="209"/>
      <c r="K286" s="171"/>
      <c r="L286" s="225"/>
      <c r="M286" s="225"/>
      <c r="N286" s="230"/>
      <c r="O286" s="228"/>
      <c r="P286" s="231"/>
      <c r="Q286" s="228"/>
      <c r="R286" s="231"/>
      <c r="S286" s="229"/>
      <c r="T286" s="229"/>
      <c r="U286" s="217"/>
      <c r="V286" s="217"/>
      <c r="W286" s="218"/>
      <c r="X286" s="220"/>
    </row>
    <row r="287" spans="1:24" s="75" customFormat="1" ht="25.65" customHeight="1">
      <c r="A287" s="218"/>
      <c r="B287" s="221"/>
      <c r="C287" s="222"/>
      <c r="D287" s="223"/>
      <c r="E287" s="223"/>
      <c r="F287" s="223"/>
      <c r="G287" s="224"/>
      <c r="H287" s="209"/>
      <c r="I287" s="209"/>
      <c r="J287" s="209"/>
      <c r="K287" s="171"/>
      <c r="L287" s="225"/>
      <c r="M287" s="225"/>
      <c r="N287" s="230"/>
      <c r="O287" s="228"/>
      <c r="P287" s="231"/>
      <c r="Q287" s="228"/>
      <c r="R287" s="231"/>
      <c r="S287" s="229"/>
      <c r="T287" s="229"/>
      <c r="U287" s="217"/>
      <c r="V287" s="217"/>
      <c r="W287" s="218"/>
      <c r="X287" s="220"/>
    </row>
    <row r="288" spans="1:24" s="75" customFormat="1" ht="25.65" customHeight="1">
      <c r="A288" s="218"/>
      <c r="B288" s="221"/>
      <c r="C288" s="222"/>
      <c r="D288" s="223"/>
      <c r="E288" s="223"/>
      <c r="F288" s="223"/>
      <c r="G288" s="224"/>
      <c r="H288" s="209"/>
      <c r="I288" s="209"/>
      <c r="J288" s="209"/>
      <c r="K288" s="171"/>
      <c r="L288" s="225"/>
      <c r="M288" s="225"/>
      <c r="N288" s="230"/>
      <c r="O288" s="228"/>
      <c r="P288" s="231"/>
      <c r="Q288" s="228"/>
      <c r="R288" s="231"/>
      <c r="S288" s="229"/>
      <c r="T288" s="229"/>
      <c r="U288" s="217"/>
      <c r="V288" s="217"/>
      <c r="W288" s="218"/>
      <c r="X288" s="220"/>
    </row>
    <row r="289" spans="1:24" s="75" customFormat="1" ht="25.65" customHeight="1">
      <c r="A289" s="218"/>
      <c r="B289" s="221"/>
      <c r="C289" s="222"/>
      <c r="D289" s="223"/>
      <c r="E289" s="223"/>
      <c r="F289" s="223"/>
      <c r="G289" s="224"/>
      <c r="H289" s="209"/>
      <c r="I289" s="209"/>
      <c r="J289" s="209"/>
      <c r="K289" s="171"/>
      <c r="L289" s="225"/>
      <c r="M289" s="225"/>
      <c r="N289" s="230"/>
      <c r="O289" s="228"/>
      <c r="P289" s="231"/>
      <c r="Q289" s="228"/>
      <c r="R289" s="231"/>
      <c r="S289" s="229"/>
      <c r="T289" s="229"/>
      <c r="U289" s="217"/>
      <c r="V289" s="217"/>
      <c r="W289" s="218"/>
      <c r="X289" s="220"/>
    </row>
    <row r="290" spans="1:24" s="75" customFormat="1" ht="25.65" customHeight="1">
      <c r="A290" s="218"/>
      <c r="B290" s="221"/>
      <c r="C290" s="222"/>
      <c r="D290" s="223"/>
      <c r="E290" s="223"/>
      <c r="F290" s="223"/>
      <c r="G290" s="224"/>
      <c r="H290" s="209"/>
      <c r="I290" s="209"/>
      <c r="J290" s="209"/>
      <c r="K290" s="171"/>
      <c r="L290" s="225"/>
      <c r="M290" s="225"/>
      <c r="N290" s="230"/>
      <c r="O290" s="228"/>
      <c r="P290" s="231"/>
      <c r="Q290" s="228"/>
      <c r="R290" s="231"/>
      <c r="S290" s="229"/>
      <c r="T290" s="229"/>
      <c r="U290" s="217"/>
      <c r="V290" s="217"/>
      <c r="W290" s="218"/>
      <c r="X290" s="220"/>
    </row>
    <row r="291" spans="1:24" s="75" customFormat="1" ht="25.65" customHeight="1">
      <c r="A291" s="218"/>
      <c r="B291" s="221"/>
      <c r="C291" s="222"/>
      <c r="D291" s="223"/>
      <c r="E291" s="223"/>
      <c r="F291" s="223"/>
      <c r="G291" s="224"/>
      <c r="H291" s="209"/>
      <c r="I291" s="209"/>
      <c r="J291" s="209"/>
      <c r="K291" s="171"/>
      <c r="L291" s="225"/>
      <c r="M291" s="225"/>
      <c r="N291" s="230"/>
      <c r="O291" s="228"/>
      <c r="P291" s="231"/>
      <c r="Q291" s="228"/>
      <c r="R291" s="231"/>
      <c r="S291" s="229"/>
      <c r="T291" s="229"/>
      <c r="U291" s="217"/>
      <c r="V291" s="217"/>
      <c r="W291" s="218"/>
      <c r="X291" s="220"/>
    </row>
    <row r="292" spans="1:24" s="75" customFormat="1" ht="25.65" customHeight="1">
      <c r="A292" s="218"/>
      <c r="B292" s="221"/>
      <c r="C292" s="222"/>
      <c r="D292" s="223"/>
      <c r="E292" s="223"/>
      <c r="F292" s="223"/>
      <c r="G292" s="224"/>
      <c r="H292" s="209"/>
      <c r="I292" s="209"/>
      <c r="J292" s="209"/>
      <c r="K292" s="171"/>
      <c r="L292" s="225"/>
      <c r="M292" s="225"/>
      <c r="N292" s="230"/>
      <c r="O292" s="228"/>
      <c r="P292" s="231"/>
      <c r="Q292" s="228"/>
      <c r="R292" s="231"/>
      <c r="S292" s="229"/>
      <c r="T292" s="229"/>
      <c r="U292" s="217"/>
      <c r="V292" s="217"/>
      <c r="W292" s="218"/>
      <c r="X292" s="220"/>
    </row>
    <row r="293" spans="1:24" s="75" customFormat="1" ht="25.65" customHeight="1">
      <c r="A293" s="218"/>
      <c r="B293" s="221"/>
      <c r="C293" s="222"/>
      <c r="D293" s="223"/>
      <c r="E293" s="223"/>
      <c r="F293" s="223"/>
      <c r="G293" s="224"/>
      <c r="H293" s="209"/>
      <c r="I293" s="209"/>
      <c r="J293" s="209"/>
      <c r="K293" s="171"/>
      <c r="L293" s="225"/>
      <c r="M293" s="225"/>
      <c r="N293" s="230"/>
      <c r="O293" s="228"/>
      <c r="P293" s="231"/>
      <c r="Q293" s="228"/>
      <c r="R293" s="231"/>
      <c r="S293" s="229"/>
      <c r="T293" s="229"/>
      <c r="U293" s="217"/>
      <c r="V293" s="217"/>
      <c r="W293" s="218"/>
      <c r="X293" s="220"/>
    </row>
    <row r="294" spans="1:24" s="75" customFormat="1" ht="25.65" customHeight="1">
      <c r="A294" s="218"/>
      <c r="B294" s="221"/>
      <c r="C294" s="222"/>
      <c r="D294" s="223"/>
      <c r="E294" s="223"/>
      <c r="F294" s="223"/>
      <c r="G294" s="224"/>
      <c r="H294" s="209"/>
      <c r="I294" s="209"/>
      <c r="J294" s="209"/>
      <c r="K294" s="171"/>
      <c r="L294" s="225"/>
      <c r="M294" s="225"/>
      <c r="N294" s="230"/>
      <c r="O294" s="228"/>
      <c r="P294" s="231"/>
      <c r="Q294" s="228"/>
      <c r="R294" s="231"/>
      <c r="S294" s="229"/>
      <c r="T294" s="229"/>
      <c r="U294" s="217"/>
      <c r="V294" s="217"/>
      <c r="W294" s="218"/>
      <c r="X294" s="220"/>
    </row>
    <row r="295" spans="1:24" s="75" customFormat="1" ht="25.65" customHeight="1">
      <c r="A295" s="218"/>
      <c r="B295" s="221"/>
      <c r="C295" s="222"/>
      <c r="D295" s="223"/>
      <c r="E295" s="223"/>
      <c r="F295" s="223"/>
      <c r="G295" s="224"/>
      <c r="H295" s="209"/>
      <c r="I295" s="209"/>
      <c r="J295" s="209"/>
      <c r="K295" s="171"/>
      <c r="L295" s="225"/>
      <c r="M295" s="225"/>
      <c r="N295" s="230"/>
      <c r="O295" s="228"/>
      <c r="P295" s="231"/>
      <c r="Q295" s="228"/>
      <c r="R295" s="231"/>
      <c r="S295" s="229"/>
      <c r="T295" s="229"/>
      <c r="U295" s="217"/>
      <c r="V295" s="217"/>
      <c r="W295" s="218"/>
      <c r="X295" s="220"/>
    </row>
    <row r="296" spans="1:24" s="75" customFormat="1" ht="25.65" customHeight="1">
      <c r="A296" s="218"/>
      <c r="B296" s="221"/>
      <c r="C296" s="222"/>
      <c r="D296" s="223"/>
      <c r="E296" s="223"/>
      <c r="F296" s="223"/>
      <c r="G296" s="224"/>
      <c r="H296" s="209"/>
      <c r="I296" s="209"/>
      <c r="J296" s="209"/>
      <c r="K296" s="171"/>
      <c r="L296" s="225"/>
      <c r="M296" s="225"/>
      <c r="N296" s="230"/>
      <c r="O296" s="228"/>
      <c r="P296" s="231"/>
      <c r="Q296" s="228"/>
      <c r="R296" s="231"/>
      <c r="S296" s="229"/>
      <c r="T296" s="229"/>
      <c r="U296" s="217"/>
      <c r="V296" s="217"/>
      <c r="W296" s="218"/>
      <c r="X296" s="220"/>
    </row>
    <row r="297" spans="1:24" s="75" customFormat="1" ht="25.65" customHeight="1">
      <c r="A297" s="218"/>
      <c r="B297" s="221"/>
      <c r="C297" s="222"/>
      <c r="D297" s="223"/>
      <c r="E297" s="223"/>
      <c r="F297" s="223"/>
      <c r="G297" s="224"/>
      <c r="H297" s="209"/>
      <c r="I297" s="209"/>
      <c r="J297" s="209"/>
      <c r="K297" s="171"/>
      <c r="L297" s="225"/>
      <c r="M297" s="225"/>
      <c r="N297" s="230"/>
      <c r="O297" s="228"/>
      <c r="P297" s="231"/>
      <c r="Q297" s="228"/>
      <c r="R297" s="231"/>
      <c r="S297" s="229"/>
      <c r="T297" s="229"/>
      <c r="U297" s="217"/>
      <c r="V297" s="217"/>
      <c r="W297" s="218"/>
      <c r="X297" s="220"/>
    </row>
    <row r="298" spans="1:24" s="75" customFormat="1" ht="25.65" customHeight="1">
      <c r="A298" s="218"/>
      <c r="B298" s="221"/>
      <c r="C298" s="222"/>
      <c r="D298" s="223"/>
      <c r="E298" s="223"/>
      <c r="F298" s="223"/>
      <c r="G298" s="224"/>
      <c r="H298" s="209"/>
      <c r="I298" s="209"/>
      <c r="J298" s="209"/>
      <c r="K298" s="171"/>
      <c r="L298" s="225"/>
      <c r="M298" s="225"/>
      <c r="N298" s="230"/>
      <c r="O298" s="228"/>
      <c r="P298" s="231"/>
      <c r="Q298" s="228"/>
      <c r="R298" s="231"/>
      <c r="S298" s="229"/>
      <c r="T298" s="229"/>
      <c r="U298" s="217"/>
      <c r="V298" s="217"/>
      <c r="W298" s="218"/>
      <c r="X298" s="220"/>
    </row>
    <row r="299" spans="1:24" s="75" customFormat="1" ht="25.65" customHeight="1">
      <c r="A299" s="218"/>
      <c r="B299" s="221"/>
      <c r="C299" s="222"/>
      <c r="D299" s="223"/>
      <c r="E299" s="223"/>
      <c r="F299" s="223"/>
      <c r="G299" s="224"/>
      <c r="H299" s="209"/>
      <c r="I299" s="209"/>
      <c r="J299" s="209"/>
      <c r="K299" s="171"/>
      <c r="L299" s="225"/>
      <c r="M299" s="225"/>
      <c r="N299" s="230"/>
      <c r="O299" s="228"/>
      <c r="P299" s="231"/>
      <c r="Q299" s="228"/>
      <c r="R299" s="231"/>
      <c r="S299" s="229"/>
      <c r="T299" s="229"/>
      <c r="U299" s="217"/>
      <c r="V299" s="217"/>
      <c r="W299" s="218"/>
      <c r="X299" s="220"/>
    </row>
    <row r="300" spans="1:24" s="75" customFormat="1" ht="25.65" customHeight="1">
      <c r="A300" s="218"/>
      <c r="B300" s="221"/>
      <c r="C300" s="222"/>
      <c r="D300" s="223"/>
      <c r="E300" s="223"/>
      <c r="F300" s="223"/>
      <c r="G300" s="224"/>
      <c r="H300" s="209"/>
      <c r="I300" s="209"/>
      <c r="J300" s="209"/>
      <c r="K300" s="171"/>
      <c r="L300" s="225"/>
      <c r="M300" s="225"/>
      <c r="N300" s="230"/>
      <c r="O300" s="228"/>
      <c r="P300" s="231"/>
      <c r="Q300" s="228"/>
      <c r="R300" s="231"/>
      <c r="S300" s="229"/>
      <c r="T300" s="229"/>
      <c r="U300" s="217"/>
      <c r="V300" s="217"/>
      <c r="W300" s="218"/>
      <c r="X300" s="220"/>
    </row>
    <row r="301" spans="1:24" s="75" customFormat="1" ht="25.65" customHeight="1">
      <c r="A301" s="218"/>
      <c r="B301" s="221"/>
      <c r="C301" s="222"/>
      <c r="D301" s="223"/>
      <c r="E301" s="223"/>
      <c r="F301" s="223"/>
      <c r="G301" s="224"/>
      <c r="H301" s="209"/>
      <c r="I301" s="209"/>
      <c r="J301" s="209"/>
      <c r="K301" s="171"/>
      <c r="L301" s="225"/>
      <c r="M301" s="225"/>
      <c r="N301" s="230"/>
      <c r="O301" s="228"/>
      <c r="P301" s="231"/>
      <c r="Q301" s="228"/>
      <c r="R301" s="231"/>
      <c r="S301" s="229"/>
      <c r="T301" s="229"/>
      <c r="U301" s="217"/>
      <c r="V301" s="217"/>
      <c r="W301" s="218"/>
      <c r="X301" s="220"/>
    </row>
    <row r="302" spans="1:24" s="75" customFormat="1" ht="25.65" customHeight="1">
      <c r="A302" s="218"/>
      <c r="B302" s="221"/>
      <c r="C302" s="222"/>
      <c r="D302" s="223"/>
      <c r="E302" s="223"/>
      <c r="F302" s="223"/>
      <c r="G302" s="224"/>
      <c r="H302" s="209"/>
      <c r="I302" s="209"/>
      <c r="J302" s="209"/>
      <c r="K302" s="171"/>
      <c r="L302" s="225"/>
      <c r="M302" s="225"/>
      <c r="N302" s="230"/>
      <c r="O302" s="228"/>
      <c r="P302" s="231"/>
      <c r="Q302" s="228"/>
      <c r="R302" s="231"/>
      <c r="S302" s="229"/>
      <c r="T302" s="229"/>
      <c r="U302" s="217"/>
      <c r="V302" s="217"/>
      <c r="W302" s="218"/>
      <c r="X302" s="220"/>
    </row>
    <row r="303" spans="1:24" s="75" customFormat="1" ht="25.65" customHeight="1">
      <c r="A303" s="218"/>
      <c r="B303" s="221"/>
      <c r="C303" s="222"/>
      <c r="D303" s="223"/>
      <c r="E303" s="223"/>
      <c r="F303" s="223"/>
      <c r="G303" s="224"/>
      <c r="H303" s="209"/>
      <c r="I303" s="209"/>
      <c r="J303" s="209"/>
      <c r="K303" s="171"/>
      <c r="L303" s="225"/>
      <c r="M303" s="225"/>
      <c r="N303" s="230"/>
      <c r="O303" s="228"/>
      <c r="P303" s="231"/>
      <c r="Q303" s="228"/>
      <c r="R303" s="231"/>
      <c r="S303" s="229"/>
      <c r="T303" s="229"/>
      <c r="U303" s="217"/>
      <c r="V303" s="217"/>
      <c r="W303" s="218"/>
      <c r="X303" s="220"/>
    </row>
    <row r="304" spans="1:24" s="75" customFormat="1" ht="25.65" customHeight="1">
      <c r="A304" s="218"/>
      <c r="B304" s="221"/>
      <c r="C304" s="222"/>
      <c r="D304" s="223"/>
      <c r="E304" s="223"/>
      <c r="F304" s="223"/>
      <c r="G304" s="224"/>
      <c r="H304" s="209"/>
      <c r="I304" s="209"/>
      <c r="J304" s="209"/>
      <c r="K304" s="171"/>
      <c r="L304" s="225"/>
      <c r="M304" s="225"/>
      <c r="N304" s="230"/>
      <c r="O304" s="228"/>
      <c r="P304" s="231"/>
      <c r="Q304" s="228"/>
      <c r="R304" s="231"/>
      <c r="S304" s="229"/>
      <c r="T304" s="229"/>
      <c r="U304" s="217"/>
      <c r="V304" s="217"/>
      <c r="W304" s="218"/>
      <c r="X304" s="220"/>
    </row>
    <row r="305" spans="1:24" s="75" customFormat="1" ht="25.65" customHeight="1">
      <c r="A305" s="218"/>
      <c r="B305" s="221"/>
      <c r="C305" s="222"/>
      <c r="D305" s="223"/>
      <c r="E305" s="223"/>
      <c r="F305" s="223"/>
      <c r="G305" s="224"/>
      <c r="H305" s="209"/>
      <c r="I305" s="209"/>
      <c r="J305" s="209"/>
      <c r="K305" s="171"/>
      <c r="L305" s="225"/>
      <c r="M305" s="225"/>
      <c r="N305" s="230"/>
      <c r="O305" s="228"/>
      <c r="P305" s="231"/>
      <c r="Q305" s="228"/>
      <c r="R305" s="231"/>
      <c r="S305" s="229"/>
      <c r="T305" s="229"/>
      <c r="U305" s="217"/>
      <c r="V305" s="217"/>
      <c r="W305" s="218"/>
      <c r="X305" s="220"/>
    </row>
    <row r="306" spans="1:24" s="75" customFormat="1" ht="25.65" customHeight="1">
      <c r="A306" s="218"/>
      <c r="B306" s="221"/>
      <c r="C306" s="222"/>
      <c r="D306" s="223"/>
      <c r="E306" s="223"/>
      <c r="F306" s="223"/>
      <c r="G306" s="224"/>
      <c r="H306" s="209"/>
      <c r="I306" s="209"/>
      <c r="J306" s="209"/>
      <c r="K306" s="171"/>
      <c r="L306" s="225"/>
      <c r="M306" s="225"/>
      <c r="N306" s="230"/>
      <c r="O306" s="228"/>
      <c r="P306" s="231"/>
      <c r="Q306" s="228"/>
      <c r="R306" s="231"/>
      <c r="S306" s="229"/>
      <c r="T306" s="229"/>
      <c r="U306" s="217"/>
      <c r="V306" s="217"/>
      <c r="W306" s="218"/>
      <c r="X306" s="220"/>
    </row>
    <row r="307" spans="1:24" s="75" customFormat="1" ht="25.65" customHeight="1">
      <c r="A307" s="218"/>
      <c r="B307" s="221"/>
      <c r="C307" s="222"/>
      <c r="D307" s="223"/>
      <c r="E307" s="223"/>
      <c r="F307" s="223"/>
      <c r="G307" s="224"/>
      <c r="H307" s="209"/>
      <c r="I307" s="209"/>
      <c r="J307" s="209"/>
      <c r="K307" s="171"/>
      <c r="L307" s="225"/>
      <c r="M307" s="225"/>
      <c r="N307" s="230"/>
      <c r="O307" s="228"/>
      <c r="P307" s="231"/>
      <c r="Q307" s="228"/>
      <c r="R307" s="231"/>
      <c r="S307" s="229"/>
      <c r="T307" s="229"/>
      <c r="U307" s="217"/>
      <c r="V307" s="217"/>
      <c r="W307" s="218"/>
      <c r="X307" s="220"/>
    </row>
    <row r="308" spans="1:24" s="75" customFormat="1" ht="25.65" customHeight="1">
      <c r="A308" s="218"/>
      <c r="B308" s="221"/>
      <c r="C308" s="222"/>
      <c r="D308" s="223"/>
      <c r="E308" s="223"/>
      <c r="F308" s="223"/>
      <c r="G308" s="224"/>
      <c r="H308" s="209"/>
      <c r="I308" s="209"/>
      <c r="J308" s="209"/>
      <c r="K308" s="171"/>
      <c r="L308" s="225"/>
      <c r="M308" s="225"/>
      <c r="N308" s="230"/>
      <c r="O308" s="228"/>
      <c r="P308" s="231"/>
      <c r="Q308" s="228"/>
      <c r="R308" s="231"/>
      <c r="S308" s="229"/>
      <c r="T308" s="229"/>
      <c r="U308" s="217"/>
      <c r="V308" s="217"/>
      <c r="W308" s="218"/>
      <c r="X308" s="220"/>
    </row>
    <row r="309" spans="1:24" s="75" customFormat="1" ht="25.65" customHeight="1">
      <c r="A309" s="218"/>
      <c r="B309" s="221"/>
      <c r="C309" s="222"/>
      <c r="D309" s="223"/>
      <c r="E309" s="223"/>
      <c r="F309" s="223"/>
      <c r="G309" s="224"/>
      <c r="H309" s="209"/>
      <c r="I309" s="209"/>
      <c r="J309" s="209"/>
      <c r="K309" s="171"/>
      <c r="L309" s="225"/>
      <c r="M309" s="225"/>
      <c r="N309" s="230"/>
      <c r="O309" s="228"/>
      <c r="P309" s="231"/>
      <c r="Q309" s="228"/>
      <c r="R309" s="231"/>
      <c r="S309" s="229"/>
      <c r="T309" s="229"/>
      <c r="U309" s="217"/>
      <c r="V309" s="217"/>
      <c r="W309" s="218"/>
      <c r="X309" s="220"/>
    </row>
    <row r="310" spans="1:24" s="75" customFormat="1" ht="25.65" customHeight="1">
      <c r="A310" s="218"/>
      <c r="B310" s="221"/>
      <c r="C310" s="222"/>
      <c r="D310" s="223"/>
      <c r="E310" s="223"/>
      <c r="F310" s="223"/>
      <c r="G310" s="224"/>
      <c r="H310" s="209"/>
      <c r="I310" s="209"/>
      <c r="J310" s="209"/>
      <c r="K310" s="171"/>
      <c r="L310" s="225"/>
      <c r="M310" s="225"/>
      <c r="N310" s="230"/>
      <c r="O310" s="228"/>
      <c r="P310" s="231"/>
      <c r="Q310" s="228"/>
      <c r="R310" s="231"/>
      <c r="S310" s="229"/>
      <c r="T310" s="229"/>
      <c r="U310" s="217"/>
      <c r="V310" s="217"/>
      <c r="W310" s="218"/>
      <c r="X310" s="220"/>
    </row>
    <row r="311" spans="1:24" s="75" customFormat="1" ht="25.65" customHeight="1">
      <c r="A311" s="218"/>
      <c r="B311" s="221"/>
      <c r="C311" s="222"/>
      <c r="D311" s="223"/>
      <c r="E311" s="223"/>
      <c r="F311" s="223"/>
      <c r="G311" s="224"/>
      <c r="H311" s="209"/>
      <c r="I311" s="209"/>
      <c r="J311" s="209"/>
      <c r="K311" s="171"/>
      <c r="L311" s="225"/>
      <c r="M311" s="225"/>
      <c r="N311" s="230"/>
      <c r="O311" s="228"/>
      <c r="P311" s="231"/>
      <c r="Q311" s="228"/>
      <c r="R311" s="231"/>
      <c r="S311" s="229"/>
      <c r="T311" s="229"/>
      <c r="U311" s="217"/>
      <c r="V311" s="217"/>
      <c r="W311" s="218"/>
      <c r="X311" s="220"/>
    </row>
    <row r="312" spans="1:24" s="75" customFormat="1" ht="25.65" customHeight="1">
      <c r="A312" s="218"/>
      <c r="B312" s="221"/>
      <c r="C312" s="222"/>
      <c r="D312" s="223"/>
      <c r="E312" s="223"/>
      <c r="F312" s="223"/>
      <c r="G312" s="224"/>
      <c r="H312" s="209"/>
      <c r="I312" s="209"/>
      <c r="J312" s="209"/>
      <c r="K312" s="171"/>
      <c r="L312" s="225"/>
      <c r="M312" s="225"/>
      <c r="N312" s="230"/>
      <c r="O312" s="228"/>
      <c r="P312" s="231"/>
      <c r="Q312" s="228"/>
      <c r="R312" s="231"/>
      <c r="S312" s="229"/>
      <c r="T312" s="229"/>
      <c r="U312" s="217"/>
      <c r="V312" s="217"/>
      <c r="W312" s="218"/>
      <c r="X312" s="220"/>
    </row>
    <row r="313" spans="1:24" s="75" customFormat="1" ht="25.65" customHeight="1">
      <c r="A313" s="218"/>
      <c r="B313" s="221"/>
      <c r="C313" s="222"/>
      <c r="D313" s="223"/>
      <c r="E313" s="223"/>
      <c r="F313" s="223"/>
      <c r="G313" s="224"/>
      <c r="H313" s="209"/>
      <c r="I313" s="209"/>
      <c r="J313" s="209"/>
      <c r="K313" s="171"/>
      <c r="L313" s="225"/>
      <c r="M313" s="225"/>
      <c r="N313" s="230"/>
      <c r="O313" s="228"/>
      <c r="P313" s="231"/>
      <c r="Q313" s="228"/>
      <c r="R313" s="231"/>
      <c r="S313" s="229"/>
      <c r="T313" s="229"/>
      <c r="U313" s="217"/>
      <c r="V313" s="217"/>
      <c r="W313" s="218"/>
      <c r="X313" s="220"/>
    </row>
    <row r="314" spans="1:24" s="75" customFormat="1" ht="25.65" customHeight="1">
      <c r="A314" s="218"/>
      <c r="B314" s="221"/>
      <c r="C314" s="222"/>
      <c r="D314" s="223"/>
      <c r="E314" s="223"/>
      <c r="F314" s="223"/>
      <c r="G314" s="224"/>
      <c r="H314" s="209"/>
      <c r="I314" s="209"/>
      <c r="J314" s="209"/>
      <c r="K314" s="171"/>
      <c r="L314" s="225"/>
      <c r="M314" s="225"/>
      <c r="N314" s="230"/>
      <c r="O314" s="228"/>
      <c r="P314" s="231"/>
      <c r="Q314" s="228"/>
      <c r="R314" s="231"/>
      <c r="S314" s="229"/>
      <c r="T314" s="229"/>
      <c r="U314" s="217"/>
      <c r="V314" s="217"/>
      <c r="W314" s="218"/>
      <c r="X314" s="220"/>
    </row>
    <row r="315" spans="1:24" s="75" customFormat="1" ht="25.65" customHeight="1">
      <c r="A315" s="218"/>
      <c r="B315" s="221"/>
      <c r="C315" s="222"/>
      <c r="D315" s="223"/>
      <c r="E315" s="223"/>
      <c r="F315" s="223"/>
      <c r="G315" s="224"/>
      <c r="H315" s="209"/>
      <c r="I315" s="209"/>
      <c r="J315" s="209"/>
      <c r="K315" s="171"/>
      <c r="L315" s="225"/>
      <c r="M315" s="225"/>
      <c r="N315" s="230"/>
      <c r="O315" s="228"/>
      <c r="P315" s="231"/>
      <c r="Q315" s="228"/>
      <c r="R315" s="231"/>
      <c r="S315" s="229"/>
      <c r="T315" s="229"/>
      <c r="U315" s="217"/>
      <c r="V315" s="217"/>
      <c r="W315" s="218"/>
      <c r="X315" s="220"/>
    </row>
    <row r="316" spans="1:24" s="75" customFormat="1" ht="25.65" customHeight="1">
      <c r="A316" s="218"/>
      <c r="B316" s="221"/>
      <c r="C316" s="222"/>
      <c r="D316" s="223"/>
      <c r="E316" s="223"/>
      <c r="F316" s="223"/>
      <c r="G316" s="224"/>
      <c r="H316" s="209"/>
      <c r="I316" s="209"/>
      <c r="J316" s="209"/>
      <c r="K316" s="171"/>
      <c r="L316" s="225"/>
      <c r="M316" s="225"/>
      <c r="N316" s="230"/>
      <c r="O316" s="228"/>
      <c r="P316" s="231"/>
      <c r="Q316" s="228"/>
      <c r="R316" s="231"/>
      <c r="S316" s="229"/>
      <c r="T316" s="229"/>
      <c r="U316" s="217"/>
      <c r="V316" s="217"/>
      <c r="W316" s="218"/>
      <c r="X316" s="220"/>
    </row>
    <row r="317" spans="1:24" s="75" customFormat="1" ht="25.65" customHeight="1">
      <c r="A317" s="218"/>
      <c r="B317" s="221"/>
      <c r="C317" s="222"/>
      <c r="D317" s="223"/>
      <c r="E317" s="223"/>
      <c r="F317" s="223"/>
      <c r="G317" s="224"/>
      <c r="H317" s="209"/>
      <c r="I317" s="209"/>
      <c r="J317" s="209"/>
      <c r="K317" s="171"/>
      <c r="L317" s="225"/>
      <c r="M317" s="225"/>
      <c r="N317" s="230"/>
      <c r="O317" s="228"/>
      <c r="P317" s="231"/>
      <c r="Q317" s="228"/>
      <c r="R317" s="231"/>
      <c r="S317" s="229"/>
      <c r="T317" s="229"/>
      <c r="U317" s="217"/>
      <c r="V317" s="217"/>
      <c r="W317" s="218"/>
      <c r="X317" s="220"/>
    </row>
    <row r="318" spans="1:24" s="75" customFormat="1" ht="25.65" customHeight="1">
      <c r="A318" s="218"/>
      <c r="B318" s="221"/>
      <c r="C318" s="222"/>
      <c r="D318" s="223"/>
      <c r="E318" s="223"/>
      <c r="F318" s="223"/>
      <c r="G318" s="224"/>
      <c r="H318" s="209"/>
      <c r="I318" s="209"/>
      <c r="J318" s="209"/>
      <c r="K318" s="171"/>
      <c r="L318" s="225"/>
      <c r="M318" s="225"/>
      <c r="N318" s="230"/>
      <c r="O318" s="228"/>
      <c r="P318" s="231"/>
      <c r="Q318" s="228"/>
      <c r="R318" s="231"/>
      <c r="S318" s="229"/>
      <c r="T318" s="229"/>
      <c r="U318" s="217"/>
      <c r="V318" s="217"/>
      <c r="W318" s="218"/>
      <c r="X318" s="220"/>
    </row>
    <row r="319" spans="1:24" s="75" customFormat="1" ht="25.65" customHeight="1">
      <c r="A319" s="218"/>
      <c r="B319" s="221"/>
      <c r="C319" s="222"/>
      <c r="D319" s="223"/>
      <c r="E319" s="223"/>
      <c r="F319" s="223"/>
      <c r="G319" s="224"/>
      <c r="H319" s="209"/>
      <c r="I319" s="209"/>
      <c r="J319" s="209"/>
      <c r="K319" s="171"/>
      <c r="L319" s="225"/>
      <c r="M319" s="225"/>
      <c r="N319" s="230"/>
      <c r="O319" s="228"/>
      <c r="P319" s="231"/>
      <c r="Q319" s="228"/>
      <c r="R319" s="231"/>
      <c r="S319" s="229"/>
      <c r="T319" s="229"/>
      <c r="U319" s="217"/>
      <c r="V319" s="217"/>
      <c r="W319" s="218"/>
      <c r="X319" s="220"/>
    </row>
    <row r="320" spans="1:24" s="75" customFormat="1" ht="25.65" customHeight="1">
      <c r="A320" s="218"/>
      <c r="B320" s="221"/>
      <c r="C320" s="222"/>
      <c r="D320" s="223"/>
      <c r="E320" s="223"/>
      <c r="F320" s="223"/>
      <c r="G320" s="224"/>
      <c r="H320" s="209"/>
      <c r="I320" s="209"/>
      <c r="J320" s="209"/>
      <c r="K320" s="171"/>
      <c r="L320" s="225"/>
      <c r="M320" s="225"/>
      <c r="N320" s="230"/>
      <c r="O320" s="228"/>
      <c r="P320" s="231"/>
      <c r="Q320" s="228"/>
      <c r="R320" s="231"/>
      <c r="S320" s="229"/>
      <c r="T320" s="229"/>
      <c r="U320" s="217"/>
      <c r="V320" s="217"/>
      <c r="W320" s="218"/>
      <c r="X320" s="220"/>
    </row>
    <row r="321" spans="1:24" s="75" customFormat="1" ht="25.65" customHeight="1">
      <c r="A321" s="218"/>
      <c r="B321" s="221"/>
      <c r="C321" s="222"/>
      <c r="D321" s="223"/>
      <c r="E321" s="223"/>
      <c r="F321" s="223"/>
      <c r="G321" s="224"/>
      <c r="H321" s="209"/>
      <c r="I321" s="209"/>
      <c r="J321" s="209"/>
      <c r="K321" s="171"/>
      <c r="L321" s="225"/>
      <c r="M321" s="225"/>
      <c r="N321" s="230"/>
      <c r="O321" s="228"/>
      <c r="P321" s="231"/>
      <c r="Q321" s="228"/>
      <c r="R321" s="231"/>
      <c r="S321" s="229"/>
      <c r="T321" s="229"/>
      <c r="U321" s="217"/>
      <c r="V321" s="217"/>
      <c r="W321" s="218"/>
      <c r="X321" s="220"/>
    </row>
    <row r="322" spans="1:24" s="75" customFormat="1" ht="25.65" customHeight="1">
      <c r="A322" s="218"/>
      <c r="B322" s="221"/>
      <c r="C322" s="222"/>
      <c r="D322" s="223"/>
      <c r="E322" s="223"/>
      <c r="F322" s="223"/>
      <c r="G322" s="224"/>
      <c r="H322" s="209"/>
      <c r="I322" s="209"/>
      <c r="J322" s="209"/>
      <c r="K322" s="171"/>
      <c r="L322" s="225"/>
      <c r="M322" s="225"/>
      <c r="N322" s="230"/>
      <c r="O322" s="228"/>
      <c r="P322" s="231"/>
      <c r="Q322" s="228"/>
      <c r="R322" s="231"/>
      <c r="S322" s="229"/>
      <c r="T322" s="229"/>
      <c r="U322" s="217"/>
      <c r="V322" s="217"/>
      <c r="W322" s="218"/>
      <c r="X322" s="220"/>
    </row>
    <row r="323" spans="1:24" s="75" customFormat="1" ht="25.65" customHeight="1">
      <c r="A323" s="218"/>
      <c r="B323" s="221"/>
      <c r="C323" s="222"/>
      <c r="D323" s="223"/>
      <c r="E323" s="223"/>
      <c r="F323" s="223"/>
      <c r="G323" s="224"/>
      <c r="H323" s="209"/>
      <c r="I323" s="209"/>
      <c r="J323" s="209"/>
      <c r="K323" s="171"/>
      <c r="L323" s="225"/>
      <c r="M323" s="225"/>
      <c r="N323" s="230"/>
      <c r="O323" s="228"/>
      <c r="P323" s="231"/>
      <c r="Q323" s="228"/>
      <c r="R323" s="231"/>
      <c r="S323" s="229"/>
      <c r="T323" s="229"/>
      <c r="U323" s="217"/>
      <c r="V323" s="217"/>
      <c r="W323" s="218"/>
      <c r="X323" s="220"/>
    </row>
    <row r="324" spans="1:24" s="75" customFormat="1" ht="25.65" customHeight="1">
      <c r="A324" s="218"/>
      <c r="B324" s="221"/>
      <c r="C324" s="222"/>
      <c r="D324" s="223"/>
      <c r="E324" s="223"/>
      <c r="F324" s="223"/>
      <c r="G324" s="224"/>
      <c r="H324" s="209"/>
      <c r="I324" s="209"/>
      <c r="J324" s="209"/>
      <c r="K324" s="171"/>
      <c r="L324" s="225"/>
      <c r="M324" s="225"/>
      <c r="N324" s="230"/>
      <c r="O324" s="228"/>
      <c r="P324" s="231"/>
      <c r="Q324" s="228"/>
      <c r="R324" s="231"/>
      <c r="S324" s="229"/>
      <c r="T324" s="229"/>
      <c r="U324" s="217"/>
      <c r="V324" s="217"/>
      <c r="W324" s="218"/>
      <c r="X324" s="220"/>
    </row>
    <row r="325" spans="1:24" s="75" customFormat="1" ht="25.65" customHeight="1">
      <c r="A325" s="218"/>
      <c r="B325" s="221"/>
      <c r="C325" s="222"/>
      <c r="D325" s="223"/>
      <c r="E325" s="223"/>
      <c r="F325" s="223"/>
      <c r="G325" s="224"/>
      <c r="H325" s="209"/>
      <c r="I325" s="209"/>
      <c r="J325" s="209"/>
      <c r="K325" s="171"/>
      <c r="L325" s="225"/>
      <c r="M325" s="225"/>
      <c r="N325" s="230"/>
      <c r="O325" s="228"/>
      <c r="P325" s="231"/>
      <c r="Q325" s="228"/>
      <c r="R325" s="231"/>
      <c r="S325" s="229"/>
      <c r="T325" s="229"/>
      <c r="U325" s="217"/>
      <c r="V325" s="217"/>
      <c r="W325" s="218"/>
      <c r="X325" s="220"/>
    </row>
    <row r="326" spans="1:24" s="75" customFormat="1" ht="25.65" customHeight="1">
      <c r="A326" s="218"/>
      <c r="B326" s="221"/>
      <c r="C326" s="222"/>
      <c r="D326" s="223"/>
      <c r="E326" s="223"/>
      <c r="F326" s="223"/>
      <c r="G326" s="224"/>
      <c r="H326" s="209"/>
      <c r="I326" s="209"/>
      <c r="J326" s="209"/>
      <c r="K326" s="171"/>
      <c r="L326" s="225"/>
      <c r="M326" s="225"/>
      <c r="N326" s="230"/>
      <c r="O326" s="228"/>
      <c r="P326" s="231"/>
      <c r="Q326" s="228"/>
      <c r="R326" s="231"/>
      <c r="S326" s="229"/>
      <c r="T326" s="229"/>
      <c r="U326" s="217"/>
      <c r="V326" s="217"/>
      <c r="W326" s="218"/>
      <c r="X326" s="220"/>
    </row>
    <row r="327" spans="1:24" s="75" customFormat="1" ht="25.65" customHeight="1">
      <c r="A327" s="218"/>
      <c r="B327" s="221"/>
      <c r="C327" s="222"/>
      <c r="D327" s="223"/>
      <c r="E327" s="223"/>
      <c r="F327" s="223"/>
      <c r="G327" s="224"/>
      <c r="H327" s="209"/>
      <c r="I327" s="209"/>
      <c r="J327" s="209"/>
      <c r="K327" s="171"/>
      <c r="L327" s="225"/>
      <c r="M327" s="225"/>
      <c r="N327" s="230"/>
      <c r="O327" s="228"/>
      <c r="P327" s="231"/>
      <c r="Q327" s="228"/>
      <c r="R327" s="231"/>
      <c r="S327" s="229"/>
      <c r="T327" s="229"/>
      <c r="U327" s="217"/>
      <c r="V327" s="217"/>
      <c r="W327" s="218"/>
      <c r="X327" s="220"/>
    </row>
    <row r="328" spans="1:24" s="75" customFormat="1" ht="25.65" customHeight="1">
      <c r="A328" s="218"/>
      <c r="B328" s="221"/>
      <c r="C328" s="222"/>
      <c r="D328" s="223"/>
      <c r="E328" s="223"/>
      <c r="F328" s="223"/>
      <c r="G328" s="224"/>
      <c r="H328" s="209"/>
      <c r="I328" s="209"/>
      <c r="J328" s="209"/>
      <c r="K328" s="171"/>
      <c r="L328" s="225"/>
      <c r="M328" s="225"/>
      <c r="N328" s="230"/>
      <c r="O328" s="228"/>
      <c r="P328" s="231"/>
      <c r="Q328" s="228"/>
      <c r="R328" s="231"/>
      <c r="S328" s="229"/>
      <c r="T328" s="229"/>
      <c r="U328" s="217"/>
      <c r="V328" s="217"/>
      <c r="W328" s="218"/>
      <c r="X328" s="220"/>
    </row>
    <row r="329" spans="1:24" s="75" customFormat="1" ht="25.65" customHeight="1">
      <c r="A329" s="218"/>
      <c r="B329" s="221"/>
      <c r="C329" s="222"/>
      <c r="D329" s="223"/>
      <c r="E329" s="223"/>
      <c r="F329" s="223"/>
      <c r="G329" s="224"/>
      <c r="H329" s="209"/>
      <c r="I329" s="209"/>
      <c r="J329" s="209"/>
      <c r="K329" s="171"/>
      <c r="L329" s="225"/>
      <c r="M329" s="225"/>
      <c r="N329" s="230"/>
      <c r="O329" s="228"/>
      <c r="P329" s="231"/>
      <c r="Q329" s="228"/>
      <c r="R329" s="231"/>
      <c r="S329" s="229"/>
      <c r="T329" s="229"/>
      <c r="U329" s="217"/>
      <c r="V329" s="217"/>
      <c r="W329" s="218"/>
      <c r="X329" s="220"/>
    </row>
    <row r="330" spans="1:24" s="75" customFormat="1" ht="25.65" customHeight="1">
      <c r="A330" s="218"/>
      <c r="B330" s="221"/>
      <c r="C330" s="222"/>
      <c r="D330" s="223"/>
      <c r="E330" s="223"/>
      <c r="F330" s="223"/>
      <c r="G330" s="224"/>
      <c r="H330" s="209"/>
      <c r="I330" s="209"/>
      <c r="J330" s="209"/>
      <c r="K330" s="171"/>
      <c r="L330" s="225"/>
      <c r="M330" s="225"/>
      <c r="N330" s="230"/>
      <c r="O330" s="228"/>
      <c r="P330" s="231"/>
      <c r="Q330" s="228"/>
      <c r="R330" s="231"/>
      <c r="S330" s="229"/>
      <c r="T330" s="229"/>
      <c r="U330" s="217"/>
      <c r="V330" s="217"/>
      <c r="W330" s="218"/>
      <c r="X330" s="220"/>
    </row>
    <row r="331" spans="1:24" s="75" customFormat="1" ht="25.65" customHeight="1">
      <c r="A331" s="218"/>
      <c r="B331" s="221"/>
      <c r="C331" s="222"/>
      <c r="D331" s="223"/>
      <c r="E331" s="223"/>
      <c r="F331" s="223"/>
      <c r="G331" s="224"/>
      <c r="H331" s="209"/>
      <c r="I331" s="209"/>
      <c r="J331" s="209"/>
      <c r="K331" s="171"/>
      <c r="L331" s="225"/>
      <c r="M331" s="225"/>
      <c r="N331" s="230"/>
      <c r="O331" s="228"/>
      <c r="P331" s="231"/>
      <c r="Q331" s="228"/>
      <c r="R331" s="231"/>
      <c r="S331" s="229"/>
      <c r="T331" s="229"/>
      <c r="U331" s="217"/>
      <c r="V331" s="217"/>
      <c r="W331" s="218"/>
      <c r="X331" s="220"/>
    </row>
    <row r="332" spans="1:24" s="75" customFormat="1" ht="25.65" customHeight="1">
      <c r="A332" s="218"/>
      <c r="B332" s="221"/>
      <c r="C332" s="222"/>
      <c r="D332" s="223"/>
      <c r="E332" s="223"/>
      <c r="F332" s="223"/>
      <c r="G332" s="224"/>
      <c r="H332" s="209"/>
      <c r="I332" s="209"/>
      <c r="J332" s="209"/>
      <c r="K332" s="171"/>
      <c r="L332" s="225"/>
      <c r="M332" s="225"/>
      <c r="N332" s="230"/>
      <c r="O332" s="228"/>
      <c r="P332" s="231"/>
      <c r="Q332" s="228"/>
      <c r="R332" s="231"/>
      <c r="S332" s="229"/>
      <c r="T332" s="229"/>
      <c r="U332" s="217"/>
      <c r="V332" s="217"/>
      <c r="W332" s="218"/>
      <c r="X332" s="220"/>
    </row>
    <row r="333" spans="1:24" s="75" customFormat="1" ht="25.65" customHeight="1">
      <c r="A333" s="218"/>
      <c r="B333" s="221"/>
      <c r="C333" s="222"/>
      <c r="D333" s="223"/>
      <c r="E333" s="223"/>
      <c r="F333" s="223"/>
      <c r="G333" s="224"/>
      <c r="H333" s="209"/>
      <c r="I333" s="209"/>
      <c r="J333" s="209"/>
      <c r="K333" s="171"/>
      <c r="L333" s="225"/>
      <c r="M333" s="225"/>
      <c r="N333" s="230"/>
      <c r="O333" s="228"/>
      <c r="P333" s="231"/>
      <c r="Q333" s="228"/>
      <c r="R333" s="231"/>
      <c r="S333" s="229"/>
      <c r="T333" s="229"/>
      <c r="U333" s="217"/>
      <c r="V333" s="217"/>
      <c r="W333" s="218"/>
      <c r="X333" s="220"/>
    </row>
    <row r="334" spans="1:24" s="75" customFormat="1" ht="25.65" customHeight="1">
      <c r="A334" s="218"/>
      <c r="B334" s="221"/>
      <c r="C334" s="222"/>
      <c r="D334" s="223"/>
      <c r="E334" s="223"/>
      <c r="F334" s="223"/>
      <c r="G334" s="224"/>
      <c r="H334" s="209"/>
      <c r="I334" s="209"/>
      <c r="J334" s="209"/>
      <c r="K334" s="171"/>
      <c r="L334" s="225"/>
      <c r="M334" s="225"/>
      <c r="N334" s="230"/>
      <c r="O334" s="228"/>
      <c r="P334" s="231"/>
      <c r="Q334" s="228"/>
      <c r="R334" s="231"/>
      <c r="S334" s="229"/>
      <c r="T334" s="229"/>
      <c r="U334" s="217"/>
      <c r="V334" s="217"/>
      <c r="W334" s="218"/>
      <c r="X334" s="220"/>
    </row>
    <row r="335" spans="1:24" s="75" customFormat="1" ht="25.65" customHeight="1">
      <c r="A335" s="218"/>
      <c r="B335" s="221"/>
      <c r="C335" s="222"/>
      <c r="D335" s="223"/>
      <c r="E335" s="223"/>
      <c r="F335" s="223"/>
      <c r="G335" s="224"/>
      <c r="H335" s="209"/>
      <c r="I335" s="209"/>
      <c r="J335" s="209"/>
      <c r="K335" s="171"/>
      <c r="L335" s="225"/>
      <c r="M335" s="225"/>
      <c r="N335" s="230"/>
      <c r="O335" s="228"/>
      <c r="P335" s="231"/>
      <c r="Q335" s="228"/>
      <c r="R335" s="231"/>
      <c r="S335" s="229"/>
      <c r="T335" s="229"/>
      <c r="U335" s="217"/>
      <c r="V335" s="217"/>
      <c r="W335" s="218"/>
      <c r="X335" s="220"/>
    </row>
    <row r="336" spans="1:24" s="75" customFormat="1" ht="25.65" customHeight="1">
      <c r="A336" s="218"/>
      <c r="B336" s="221"/>
      <c r="C336" s="222"/>
      <c r="D336" s="223"/>
      <c r="E336" s="223"/>
      <c r="F336" s="223"/>
      <c r="G336" s="224"/>
      <c r="H336" s="209"/>
      <c r="I336" s="209"/>
      <c r="J336" s="209"/>
      <c r="K336" s="171"/>
      <c r="L336" s="225"/>
      <c r="M336" s="225"/>
      <c r="N336" s="230"/>
      <c r="O336" s="228"/>
      <c r="P336" s="231"/>
      <c r="Q336" s="228"/>
      <c r="R336" s="231"/>
      <c r="S336" s="229"/>
      <c r="T336" s="229"/>
      <c r="U336" s="217"/>
      <c r="V336" s="217"/>
      <c r="W336" s="218"/>
      <c r="X336" s="220"/>
    </row>
    <row r="337" spans="1:24" s="75" customFormat="1" ht="25.65" customHeight="1">
      <c r="A337" s="218"/>
      <c r="B337" s="221"/>
      <c r="C337" s="222"/>
      <c r="D337" s="223"/>
      <c r="E337" s="223"/>
      <c r="F337" s="223"/>
      <c r="G337" s="224"/>
      <c r="H337" s="209"/>
      <c r="I337" s="209"/>
      <c r="J337" s="209"/>
      <c r="K337" s="171"/>
      <c r="L337" s="225"/>
      <c r="M337" s="225"/>
      <c r="N337" s="230"/>
      <c r="O337" s="228"/>
      <c r="P337" s="231"/>
      <c r="Q337" s="228"/>
      <c r="R337" s="231"/>
      <c r="S337" s="229"/>
      <c r="T337" s="229"/>
      <c r="U337" s="217"/>
      <c r="V337" s="217"/>
      <c r="W337" s="218"/>
      <c r="X337" s="220"/>
    </row>
    <row r="338" spans="1:24" s="75" customFormat="1" ht="25.65" customHeight="1">
      <c r="A338" s="218"/>
      <c r="B338" s="221"/>
      <c r="C338" s="222"/>
      <c r="D338" s="223"/>
      <c r="E338" s="223"/>
      <c r="F338" s="223"/>
      <c r="G338" s="224"/>
      <c r="H338" s="209"/>
      <c r="I338" s="209"/>
      <c r="J338" s="209"/>
      <c r="K338" s="171"/>
      <c r="L338" s="225"/>
      <c r="M338" s="225"/>
      <c r="N338" s="230"/>
      <c r="O338" s="228"/>
      <c r="P338" s="231"/>
      <c r="Q338" s="228"/>
      <c r="R338" s="231"/>
      <c r="S338" s="229"/>
      <c r="T338" s="229"/>
      <c r="U338" s="217"/>
      <c r="V338" s="217"/>
      <c r="W338" s="218"/>
      <c r="X338" s="220"/>
    </row>
    <row r="339" spans="1:24" s="75" customFormat="1" ht="25.65" customHeight="1">
      <c r="A339" s="218"/>
      <c r="B339" s="221"/>
      <c r="C339" s="222"/>
      <c r="D339" s="223"/>
      <c r="E339" s="223"/>
      <c r="F339" s="223"/>
      <c r="G339" s="224"/>
      <c r="H339" s="209"/>
      <c r="I339" s="209"/>
      <c r="J339" s="209"/>
      <c r="K339" s="171"/>
      <c r="L339" s="225"/>
      <c r="M339" s="225"/>
      <c r="N339" s="230"/>
      <c r="O339" s="228"/>
      <c r="P339" s="231"/>
      <c r="Q339" s="228"/>
      <c r="R339" s="231"/>
      <c r="S339" s="229"/>
      <c r="T339" s="229"/>
      <c r="U339" s="217"/>
      <c r="V339" s="217"/>
      <c r="W339" s="218"/>
      <c r="X339" s="220"/>
    </row>
    <row r="340" spans="1:24" s="75" customFormat="1" ht="25.65" customHeight="1">
      <c r="A340" s="218"/>
      <c r="B340" s="221"/>
      <c r="C340" s="222"/>
      <c r="D340" s="223"/>
      <c r="E340" s="223"/>
      <c r="F340" s="223"/>
      <c r="G340" s="224"/>
      <c r="H340" s="209"/>
      <c r="I340" s="209"/>
      <c r="J340" s="209"/>
      <c r="K340" s="171"/>
      <c r="L340" s="225"/>
      <c r="M340" s="225"/>
      <c r="N340" s="230"/>
      <c r="O340" s="228"/>
      <c r="P340" s="231"/>
      <c r="Q340" s="228"/>
      <c r="R340" s="231"/>
      <c r="S340" s="229"/>
      <c r="T340" s="229"/>
      <c r="U340" s="217"/>
      <c r="V340" s="217"/>
      <c r="W340" s="218"/>
      <c r="X340" s="220"/>
    </row>
    <row r="341" spans="1:24" s="75" customFormat="1" ht="25.65" customHeight="1">
      <c r="A341" s="218"/>
      <c r="B341" s="221"/>
      <c r="C341" s="222"/>
      <c r="D341" s="223"/>
      <c r="E341" s="223"/>
      <c r="F341" s="223"/>
      <c r="G341" s="224"/>
      <c r="H341" s="209"/>
      <c r="I341" s="209"/>
      <c r="J341" s="209"/>
      <c r="K341" s="171"/>
      <c r="L341" s="225"/>
      <c r="M341" s="225"/>
      <c r="N341" s="230"/>
      <c r="O341" s="228"/>
      <c r="P341" s="231"/>
      <c r="Q341" s="228"/>
      <c r="R341" s="231"/>
      <c r="S341" s="229"/>
      <c r="T341" s="229"/>
      <c r="U341" s="217"/>
      <c r="V341" s="217"/>
      <c r="W341" s="218"/>
      <c r="X341" s="220"/>
    </row>
    <row r="342" spans="1:24" s="75" customFormat="1" ht="25.65" customHeight="1">
      <c r="A342" s="218"/>
      <c r="B342" s="221"/>
      <c r="C342" s="222"/>
      <c r="D342" s="223"/>
      <c r="E342" s="223"/>
      <c r="F342" s="223"/>
      <c r="G342" s="224"/>
      <c r="H342" s="209"/>
      <c r="I342" s="209"/>
      <c r="J342" s="209"/>
      <c r="K342" s="171"/>
      <c r="L342" s="225"/>
      <c r="M342" s="225"/>
      <c r="N342" s="230"/>
      <c r="O342" s="228"/>
      <c r="P342" s="231"/>
      <c r="Q342" s="228"/>
      <c r="R342" s="231"/>
      <c r="S342" s="229"/>
      <c r="T342" s="229"/>
      <c r="U342" s="217"/>
      <c r="V342" s="217"/>
      <c r="W342" s="218"/>
      <c r="X342" s="220"/>
    </row>
    <row r="343" spans="1:24" s="75" customFormat="1" ht="25.65" customHeight="1">
      <c r="A343" s="218"/>
      <c r="B343" s="221"/>
      <c r="C343" s="222"/>
      <c r="D343" s="223"/>
      <c r="E343" s="223"/>
      <c r="F343" s="223"/>
      <c r="G343" s="224"/>
      <c r="H343" s="209"/>
      <c r="I343" s="209"/>
      <c r="J343" s="209"/>
      <c r="K343" s="171"/>
      <c r="L343" s="225"/>
      <c r="M343" s="225"/>
      <c r="N343" s="230"/>
      <c r="O343" s="228"/>
      <c r="P343" s="231"/>
      <c r="Q343" s="228"/>
      <c r="R343" s="231"/>
      <c r="S343" s="229"/>
      <c r="T343" s="229"/>
      <c r="U343" s="217"/>
      <c r="V343" s="217"/>
      <c r="W343" s="218"/>
      <c r="X343" s="220"/>
    </row>
    <row r="344" spans="1:24" s="75" customFormat="1" ht="25.65" customHeight="1">
      <c r="A344" s="218"/>
      <c r="B344" s="221"/>
      <c r="C344" s="222"/>
      <c r="D344" s="223"/>
      <c r="E344" s="223"/>
      <c r="F344" s="223"/>
      <c r="G344" s="224"/>
      <c r="H344" s="209"/>
      <c r="I344" s="209"/>
      <c r="J344" s="209"/>
      <c r="K344" s="171"/>
      <c r="L344" s="225"/>
      <c r="M344" s="225"/>
      <c r="N344" s="230"/>
      <c r="O344" s="228"/>
      <c r="P344" s="231"/>
      <c r="Q344" s="228"/>
      <c r="R344" s="231"/>
      <c r="S344" s="229"/>
      <c r="T344" s="229"/>
      <c r="U344" s="217"/>
      <c r="V344" s="217"/>
      <c r="W344" s="218"/>
      <c r="X344" s="220"/>
    </row>
    <row r="345" spans="1:24" s="75" customFormat="1" ht="25.65" customHeight="1">
      <c r="A345" s="218"/>
      <c r="B345" s="221"/>
      <c r="C345" s="222"/>
      <c r="D345" s="223"/>
      <c r="E345" s="223"/>
      <c r="F345" s="223"/>
      <c r="G345" s="224"/>
      <c r="H345" s="209"/>
      <c r="I345" s="209"/>
      <c r="J345" s="209"/>
      <c r="K345" s="171"/>
      <c r="L345" s="225"/>
      <c r="M345" s="225"/>
      <c r="N345" s="230"/>
      <c r="O345" s="228"/>
      <c r="P345" s="231"/>
      <c r="Q345" s="228"/>
      <c r="R345" s="231"/>
      <c r="S345" s="229"/>
      <c r="T345" s="229"/>
      <c r="U345" s="217"/>
      <c r="V345" s="217"/>
      <c r="W345" s="218"/>
      <c r="X345" s="220"/>
    </row>
    <row r="346" spans="1:24" s="75" customFormat="1" ht="25.65" customHeight="1">
      <c r="A346" s="218"/>
      <c r="B346" s="221"/>
      <c r="C346" s="222"/>
      <c r="D346" s="223"/>
      <c r="E346" s="223"/>
      <c r="F346" s="223"/>
      <c r="G346" s="224"/>
      <c r="H346" s="209"/>
      <c r="I346" s="209"/>
      <c r="J346" s="209"/>
      <c r="K346" s="171"/>
      <c r="L346" s="225"/>
      <c r="M346" s="225"/>
      <c r="N346" s="230"/>
      <c r="O346" s="228"/>
      <c r="P346" s="231"/>
      <c r="Q346" s="228"/>
      <c r="R346" s="231"/>
      <c r="S346" s="229"/>
      <c r="T346" s="229"/>
      <c r="U346" s="217"/>
      <c r="V346" s="217"/>
      <c r="W346" s="218"/>
      <c r="X346" s="220"/>
    </row>
    <row r="347" spans="1:24" s="75" customFormat="1" ht="25.65" customHeight="1">
      <c r="A347" s="218"/>
      <c r="B347" s="221"/>
      <c r="C347" s="222"/>
      <c r="D347" s="223"/>
      <c r="E347" s="223"/>
      <c r="F347" s="223"/>
      <c r="G347" s="224"/>
      <c r="H347" s="209"/>
      <c r="I347" s="209"/>
      <c r="J347" s="209"/>
      <c r="K347" s="171"/>
      <c r="L347" s="225"/>
      <c r="M347" s="225"/>
      <c r="N347" s="230"/>
      <c r="O347" s="228"/>
      <c r="P347" s="231"/>
      <c r="Q347" s="228"/>
      <c r="R347" s="231"/>
      <c r="S347" s="229"/>
      <c r="T347" s="229"/>
      <c r="U347" s="217"/>
      <c r="V347" s="217"/>
      <c r="W347" s="218"/>
      <c r="X347" s="220"/>
    </row>
    <row r="348" spans="1:24" s="75" customFormat="1" ht="25.65" customHeight="1">
      <c r="A348" s="218"/>
      <c r="B348" s="221"/>
      <c r="C348" s="222"/>
      <c r="D348" s="223"/>
      <c r="E348" s="223"/>
      <c r="F348" s="223"/>
      <c r="G348" s="224"/>
      <c r="H348" s="209"/>
      <c r="I348" s="209"/>
      <c r="J348" s="209"/>
      <c r="K348" s="171"/>
      <c r="L348" s="225"/>
      <c r="M348" s="225"/>
      <c r="N348" s="230"/>
      <c r="O348" s="228"/>
      <c r="P348" s="231"/>
      <c r="Q348" s="228"/>
      <c r="R348" s="231"/>
      <c r="S348" s="229"/>
      <c r="T348" s="229"/>
      <c r="U348" s="217"/>
      <c r="V348" s="217"/>
      <c r="W348" s="218"/>
      <c r="X348" s="220"/>
    </row>
    <row r="349" spans="1:24" s="75" customFormat="1" ht="25.65" customHeight="1">
      <c r="A349" s="218"/>
      <c r="B349" s="221"/>
      <c r="C349" s="222"/>
      <c r="D349" s="223"/>
      <c r="E349" s="223"/>
      <c r="F349" s="223"/>
      <c r="G349" s="224"/>
      <c r="H349" s="209"/>
      <c r="I349" s="209"/>
      <c r="J349" s="209"/>
      <c r="K349" s="171"/>
      <c r="L349" s="225"/>
      <c r="M349" s="225"/>
      <c r="N349" s="230"/>
      <c r="O349" s="228"/>
      <c r="P349" s="231"/>
      <c r="Q349" s="228"/>
      <c r="R349" s="231"/>
      <c r="S349" s="229"/>
      <c r="T349" s="229"/>
      <c r="U349" s="217"/>
      <c r="V349" s="217"/>
      <c r="W349" s="218"/>
      <c r="X349" s="220"/>
    </row>
    <row r="350" spans="1:24" s="75" customFormat="1" ht="25.65" customHeight="1">
      <c r="A350" s="218"/>
      <c r="B350" s="221"/>
      <c r="C350" s="222"/>
      <c r="D350" s="223"/>
      <c r="E350" s="223"/>
      <c r="F350" s="223"/>
      <c r="G350" s="224"/>
      <c r="H350" s="209"/>
      <c r="I350" s="209"/>
      <c r="J350" s="209"/>
      <c r="K350" s="171"/>
      <c r="L350" s="225"/>
      <c r="M350" s="225"/>
      <c r="N350" s="230"/>
      <c r="O350" s="228"/>
      <c r="P350" s="231"/>
      <c r="Q350" s="228"/>
      <c r="R350" s="231"/>
      <c r="S350" s="229"/>
      <c r="T350" s="229"/>
      <c r="U350" s="217"/>
      <c r="V350" s="217"/>
      <c r="W350" s="218"/>
      <c r="X350" s="220"/>
    </row>
    <row r="351" spans="1:24" s="75" customFormat="1" ht="25.65" customHeight="1">
      <c r="A351" s="218"/>
      <c r="B351" s="221"/>
      <c r="C351" s="222"/>
      <c r="D351" s="223"/>
      <c r="E351" s="223"/>
      <c r="F351" s="223"/>
      <c r="G351" s="224"/>
      <c r="H351" s="209"/>
      <c r="I351" s="209"/>
      <c r="J351" s="209"/>
      <c r="K351" s="171"/>
      <c r="L351" s="225"/>
      <c r="M351" s="225"/>
      <c r="N351" s="230"/>
      <c r="O351" s="228"/>
      <c r="P351" s="231"/>
      <c r="Q351" s="228"/>
      <c r="R351" s="231"/>
      <c r="S351" s="229"/>
      <c r="T351" s="229"/>
      <c r="U351" s="217"/>
      <c r="V351" s="217"/>
      <c r="W351" s="218"/>
      <c r="X351" s="220"/>
    </row>
    <row r="352" spans="1:24" s="75" customFormat="1" ht="25.65" customHeight="1">
      <c r="A352" s="218"/>
      <c r="B352" s="221"/>
      <c r="C352" s="222"/>
      <c r="D352" s="223"/>
      <c r="E352" s="223"/>
      <c r="F352" s="223"/>
      <c r="G352" s="224"/>
      <c r="H352" s="209"/>
      <c r="I352" s="209"/>
      <c r="J352" s="209"/>
      <c r="K352" s="171"/>
      <c r="L352" s="225"/>
      <c r="M352" s="225"/>
      <c r="N352" s="230"/>
      <c r="O352" s="228"/>
      <c r="P352" s="231"/>
      <c r="Q352" s="228"/>
      <c r="R352" s="231"/>
      <c r="S352" s="229"/>
      <c r="T352" s="229"/>
      <c r="U352" s="217"/>
      <c r="V352" s="217"/>
      <c r="W352" s="218"/>
      <c r="X352" s="220"/>
    </row>
    <row r="353" spans="1:24" s="75" customFormat="1" ht="25.65" customHeight="1">
      <c r="A353" s="218"/>
      <c r="B353" s="221"/>
      <c r="C353" s="222"/>
      <c r="D353" s="223"/>
      <c r="E353" s="223"/>
      <c r="F353" s="223"/>
      <c r="G353" s="224"/>
      <c r="H353" s="209"/>
      <c r="I353" s="209"/>
      <c r="J353" s="209"/>
      <c r="K353" s="171"/>
      <c r="L353" s="225"/>
      <c r="M353" s="225"/>
      <c r="N353" s="230"/>
      <c r="O353" s="228"/>
      <c r="P353" s="231"/>
      <c r="Q353" s="228"/>
      <c r="R353" s="231"/>
      <c r="S353" s="229"/>
      <c r="T353" s="229"/>
      <c r="U353" s="217"/>
      <c r="V353" s="217"/>
      <c r="W353" s="218"/>
      <c r="X353" s="220"/>
    </row>
    <row r="354" spans="1:24" s="75" customFormat="1" ht="25.65" customHeight="1">
      <c r="A354" s="218"/>
      <c r="B354" s="221"/>
      <c r="C354" s="222"/>
      <c r="D354" s="223"/>
      <c r="E354" s="223"/>
      <c r="F354" s="223"/>
      <c r="G354" s="224"/>
      <c r="H354" s="209"/>
      <c r="I354" s="209"/>
      <c r="J354" s="209"/>
      <c r="K354" s="171"/>
      <c r="L354" s="225"/>
      <c r="M354" s="225"/>
      <c r="N354" s="230"/>
      <c r="O354" s="228"/>
      <c r="P354" s="231"/>
      <c r="Q354" s="228"/>
      <c r="R354" s="231"/>
      <c r="S354" s="229"/>
      <c r="T354" s="229"/>
      <c r="U354" s="217"/>
      <c r="V354" s="217"/>
      <c r="W354" s="218"/>
      <c r="X354" s="220"/>
    </row>
    <row r="355" spans="1:24" s="75" customFormat="1" ht="25.65" customHeight="1">
      <c r="A355" s="218"/>
      <c r="B355" s="221"/>
      <c r="C355" s="222"/>
      <c r="D355" s="223"/>
      <c r="E355" s="223"/>
      <c r="F355" s="223"/>
      <c r="G355" s="224"/>
      <c r="H355" s="209"/>
      <c r="I355" s="209"/>
      <c r="J355" s="209"/>
      <c r="K355" s="171"/>
      <c r="L355" s="225"/>
      <c r="M355" s="225"/>
      <c r="N355" s="230"/>
      <c r="O355" s="228"/>
      <c r="P355" s="231"/>
      <c r="Q355" s="228"/>
      <c r="R355" s="231"/>
      <c r="S355" s="229"/>
      <c r="T355" s="229"/>
      <c r="U355" s="217"/>
      <c r="V355" s="217"/>
      <c r="W355" s="218"/>
      <c r="X355" s="220"/>
    </row>
    <row r="356" spans="1:24" s="75" customFormat="1" ht="25.65" customHeight="1">
      <c r="A356" s="218"/>
      <c r="B356" s="221"/>
      <c r="C356" s="222"/>
      <c r="D356" s="223"/>
      <c r="E356" s="223"/>
      <c r="F356" s="223"/>
      <c r="G356" s="224"/>
      <c r="H356" s="209"/>
      <c r="I356" s="209"/>
      <c r="J356" s="209"/>
      <c r="K356" s="171"/>
      <c r="L356" s="225"/>
      <c r="M356" s="225"/>
      <c r="N356" s="230"/>
      <c r="O356" s="228"/>
      <c r="P356" s="231"/>
      <c r="Q356" s="228"/>
      <c r="R356" s="231"/>
      <c r="S356" s="229"/>
      <c r="T356" s="229"/>
      <c r="U356" s="217"/>
      <c r="V356" s="217"/>
      <c r="W356" s="218"/>
      <c r="X356" s="220"/>
    </row>
    <row r="357" spans="1:24" s="75" customFormat="1" ht="25.65" customHeight="1">
      <c r="A357" s="218"/>
      <c r="B357" s="221"/>
      <c r="C357" s="222"/>
      <c r="D357" s="223"/>
      <c r="E357" s="223"/>
      <c r="F357" s="223"/>
      <c r="G357" s="224"/>
      <c r="H357" s="209"/>
      <c r="I357" s="209"/>
      <c r="J357" s="209"/>
      <c r="K357" s="171"/>
      <c r="L357" s="225"/>
      <c r="M357" s="225"/>
      <c r="N357" s="230"/>
      <c r="O357" s="228"/>
      <c r="P357" s="231"/>
      <c r="Q357" s="228"/>
      <c r="R357" s="231"/>
      <c r="S357" s="229"/>
      <c r="T357" s="229"/>
      <c r="U357" s="217"/>
      <c r="V357" s="217"/>
      <c r="W357" s="218"/>
      <c r="X357" s="220"/>
    </row>
    <row r="358" spans="1:24" s="75" customFormat="1" ht="25.65" customHeight="1">
      <c r="A358" s="218"/>
      <c r="B358" s="221"/>
      <c r="C358" s="222"/>
      <c r="D358" s="223"/>
      <c r="E358" s="223"/>
      <c r="F358" s="223"/>
      <c r="G358" s="224"/>
      <c r="H358" s="209"/>
      <c r="I358" s="209"/>
      <c r="J358" s="209"/>
      <c r="K358" s="171"/>
      <c r="L358" s="225"/>
      <c r="M358" s="225"/>
      <c r="N358" s="230"/>
      <c r="O358" s="228"/>
      <c r="P358" s="231"/>
      <c r="Q358" s="228"/>
      <c r="R358" s="231"/>
      <c r="S358" s="229"/>
      <c r="T358" s="229"/>
      <c r="U358" s="217"/>
      <c r="V358" s="217"/>
      <c r="W358" s="218"/>
      <c r="X358" s="220"/>
    </row>
    <row r="359" spans="1:24" s="75" customFormat="1" ht="25.65" customHeight="1">
      <c r="A359" s="218"/>
      <c r="B359" s="221"/>
      <c r="C359" s="222"/>
      <c r="D359" s="223"/>
      <c r="E359" s="223"/>
      <c r="F359" s="223"/>
      <c r="G359" s="224"/>
      <c r="H359" s="209"/>
      <c r="I359" s="209"/>
      <c r="J359" s="209"/>
      <c r="K359" s="171"/>
      <c r="L359" s="225"/>
      <c r="M359" s="225"/>
      <c r="N359" s="230"/>
      <c r="O359" s="228"/>
      <c r="P359" s="231"/>
      <c r="Q359" s="228"/>
      <c r="R359" s="231"/>
      <c r="S359" s="229"/>
      <c r="T359" s="229"/>
      <c r="U359" s="217"/>
      <c r="V359" s="217"/>
      <c r="W359" s="218"/>
      <c r="X359" s="220"/>
    </row>
    <row r="360" spans="1:24" s="75" customFormat="1" ht="25.65" customHeight="1">
      <c r="A360" s="218"/>
      <c r="B360" s="221"/>
      <c r="C360" s="222"/>
      <c r="D360" s="223"/>
      <c r="E360" s="223"/>
      <c r="F360" s="223"/>
      <c r="G360" s="224"/>
      <c r="H360" s="209"/>
      <c r="I360" s="209"/>
      <c r="J360" s="209"/>
      <c r="K360" s="171"/>
      <c r="L360" s="225"/>
      <c r="M360" s="225"/>
      <c r="N360" s="230"/>
      <c r="O360" s="228"/>
      <c r="P360" s="231"/>
      <c r="Q360" s="228"/>
      <c r="R360" s="231"/>
      <c r="S360" s="229"/>
      <c r="T360" s="229"/>
      <c r="U360" s="217"/>
      <c r="V360" s="217"/>
      <c r="W360" s="218"/>
      <c r="X360" s="220"/>
    </row>
    <row r="361" spans="1:24" s="75" customFormat="1" ht="25.65" customHeight="1">
      <c r="A361" s="218"/>
      <c r="B361" s="221"/>
      <c r="C361" s="222"/>
      <c r="D361" s="223"/>
      <c r="E361" s="223"/>
      <c r="F361" s="223"/>
      <c r="G361" s="224"/>
      <c r="H361" s="209"/>
      <c r="I361" s="209"/>
      <c r="J361" s="209"/>
      <c r="K361" s="171"/>
      <c r="L361" s="225"/>
      <c r="M361" s="225"/>
      <c r="N361" s="230"/>
      <c r="O361" s="228"/>
      <c r="P361" s="231"/>
      <c r="Q361" s="228"/>
      <c r="R361" s="231"/>
      <c r="S361" s="229"/>
      <c r="T361" s="229"/>
      <c r="U361" s="217"/>
      <c r="V361" s="217"/>
      <c r="W361" s="218"/>
      <c r="X361" s="220"/>
    </row>
    <row r="362" spans="1:24" s="75" customFormat="1" ht="25.65" customHeight="1">
      <c r="A362" s="218"/>
      <c r="B362" s="221"/>
      <c r="C362" s="222"/>
      <c r="D362" s="223"/>
      <c r="E362" s="223"/>
      <c r="F362" s="223"/>
      <c r="G362" s="224"/>
      <c r="H362" s="209"/>
      <c r="I362" s="209"/>
      <c r="J362" s="209"/>
      <c r="K362" s="171"/>
      <c r="L362" s="225"/>
      <c r="M362" s="225"/>
      <c r="N362" s="230"/>
      <c r="O362" s="228"/>
      <c r="P362" s="231"/>
      <c r="Q362" s="228"/>
      <c r="R362" s="231"/>
      <c r="S362" s="229"/>
      <c r="T362" s="229"/>
      <c r="U362" s="217"/>
      <c r="V362" s="217"/>
      <c r="W362" s="218"/>
      <c r="X362" s="220"/>
    </row>
    <row r="363" spans="1:24" s="75" customFormat="1" ht="25.65" customHeight="1">
      <c r="A363" s="218"/>
      <c r="B363" s="221"/>
      <c r="C363" s="222"/>
      <c r="D363" s="223"/>
      <c r="E363" s="223"/>
      <c r="F363" s="223"/>
      <c r="G363" s="224"/>
      <c r="H363" s="209"/>
      <c r="I363" s="209"/>
      <c r="J363" s="209"/>
      <c r="K363" s="171"/>
      <c r="L363" s="225"/>
      <c r="M363" s="225"/>
      <c r="N363" s="230"/>
      <c r="O363" s="228"/>
      <c r="P363" s="231"/>
      <c r="Q363" s="228"/>
      <c r="R363" s="231"/>
      <c r="S363" s="229"/>
      <c r="T363" s="229"/>
      <c r="U363" s="217"/>
      <c r="V363" s="217"/>
      <c r="W363" s="218"/>
      <c r="X363" s="220"/>
    </row>
    <row r="364" spans="1:24" s="75" customFormat="1" ht="25.65" customHeight="1">
      <c r="A364" s="218"/>
      <c r="B364" s="221"/>
      <c r="C364" s="222"/>
      <c r="D364" s="223"/>
      <c r="E364" s="223"/>
      <c r="F364" s="223"/>
      <c r="G364" s="224"/>
      <c r="H364" s="209"/>
      <c r="I364" s="209"/>
      <c r="J364" s="209"/>
      <c r="K364" s="171"/>
      <c r="L364" s="225"/>
      <c r="M364" s="225"/>
      <c r="N364" s="230"/>
      <c r="O364" s="228"/>
      <c r="P364" s="231"/>
      <c r="Q364" s="228"/>
      <c r="R364" s="231"/>
      <c r="S364" s="229"/>
      <c r="T364" s="229"/>
      <c r="U364" s="217"/>
      <c r="V364" s="217"/>
      <c r="W364" s="218"/>
      <c r="X364" s="220"/>
    </row>
    <row r="365" spans="1:24" s="75" customFormat="1" ht="25.65" customHeight="1">
      <c r="A365" s="218"/>
      <c r="B365" s="221"/>
      <c r="C365" s="222"/>
      <c r="D365" s="223"/>
      <c r="E365" s="223"/>
      <c r="F365" s="223"/>
      <c r="G365" s="224"/>
      <c r="H365" s="209"/>
      <c r="I365" s="209"/>
      <c r="J365" s="209"/>
      <c r="K365" s="171"/>
      <c r="L365" s="225"/>
      <c r="M365" s="225"/>
      <c r="N365" s="230"/>
      <c r="O365" s="228"/>
      <c r="P365" s="231"/>
      <c r="Q365" s="228"/>
      <c r="R365" s="231"/>
      <c r="S365" s="229"/>
      <c r="T365" s="229"/>
      <c r="U365" s="217"/>
      <c r="V365" s="217"/>
      <c r="W365" s="218"/>
      <c r="X365" s="220"/>
    </row>
    <row r="366" spans="1:24" s="75" customFormat="1" ht="25.65" customHeight="1">
      <c r="A366" s="218"/>
      <c r="B366" s="221"/>
      <c r="C366" s="222"/>
      <c r="D366" s="223"/>
      <c r="E366" s="223"/>
      <c r="F366" s="223"/>
      <c r="G366" s="224"/>
      <c r="H366" s="209"/>
      <c r="I366" s="209"/>
      <c r="J366" s="209"/>
      <c r="K366" s="171"/>
      <c r="L366" s="225"/>
      <c r="M366" s="225"/>
      <c r="N366" s="230"/>
      <c r="O366" s="228"/>
      <c r="P366" s="231"/>
      <c r="Q366" s="228"/>
      <c r="R366" s="231"/>
      <c r="S366" s="229"/>
      <c r="T366" s="229"/>
      <c r="U366" s="217"/>
      <c r="V366" s="217"/>
      <c r="W366" s="218"/>
      <c r="X366" s="220"/>
    </row>
    <row r="367" spans="1:24" s="75" customFormat="1" ht="25.65" customHeight="1">
      <c r="A367" s="218"/>
      <c r="B367" s="221"/>
      <c r="C367" s="222"/>
      <c r="D367" s="223"/>
      <c r="E367" s="223"/>
      <c r="F367" s="223"/>
      <c r="G367" s="224"/>
      <c r="H367" s="209"/>
      <c r="I367" s="209"/>
      <c r="J367" s="209"/>
      <c r="K367" s="171"/>
      <c r="L367" s="225"/>
      <c r="M367" s="225"/>
      <c r="N367" s="230"/>
      <c r="O367" s="228"/>
      <c r="P367" s="231"/>
      <c r="Q367" s="228"/>
      <c r="R367" s="231"/>
      <c r="S367" s="229"/>
      <c r="T367" s="229"/>
      <c r="U367" s="217"/>
      <c r="V367" s="217"/>
      <c r="W367" s="218"/>
      <c r="X367" s="220"/>
    </row>
    <row r="368" spans="1:24" s="75" customFormat="1" ht="25.65" customHeight="1">
      <c r="A368" s="218"/>
      <c r="B368" s="221"/>
      <c r="C368" s="222"/>
      <c r="D368" s="223"/>
      <c r="E368" s="223"/>
      <c r="F368" s="223"/>
      <c r="G368" s="224"/>
      <c r="H368" s="209"/>
      <c r="I368" s="209"/>
      <c r="J368" s="209"/>
      <c r="K368" s="171"/>
      <c r="L368" s="225"/>
      <c r="M368" s="225"/>
      <c r="N368" s="230"/>
      <c r="O368" s="228"/>
      <c r="P368" s="231"/>
      <c r="Q368" s="228"/>
      <c r="R368" s="231"/>
      <c r="S368" s="229"/>
      <c r="T368" s="229"/>
      <c r="U368" s="217"/>
      <c r="V368" s="217"/>
      <c r="W368" s="218"/>
      <c r="X368" s="220"/>
    </row>
    <row r="369" spans="1:24" s="75" customFormat="1" ht="25.65" customHeight="1">
      <c r="A369" s="218"/>
      <c r="B369" s="221"/>
      <c r="C369" s="222"/>
      <c r="D369" s="223"/>
      <c r="E369" s="223"/>
      <c r="F369" s="223"/>
      <c r="G369" s="224"/>
      <c r="H369" s="209"/>
      <c r="I369" s="209"/>
      <c r="J369" s="209"/>
      <c r="K369" s="171"/>
      <c r="L369" s="225"/>
      <c r="M369" s="225"/>
      <c r="N369" s="230"/>
      <c r="O369" s="228"/>
      <c r="P369" s="231"/>
      <c r="Q369" s="228"/>
      <c r="R369" s="231"/>
      <c r="S369" s="229"/>
      <c r="T369" s="229"/>
      <c r="U369" s="217"/>
      <c r="V369" s="217"/>
      <c r="W369" s="218"/>
      <c r="X369" s="220"/>
    </row>
    <row r="370" spans="1:24" s="75" customFormat="1" ht="25.65" customHeight="1">
      <c r="A370" s="218"/>
      <c r="B370" s="221"/>
      <c r="C370" s="222"/>
      <c r="D370" s="223"/>
      <c r="E370" s="223"/>
      <c r="F370" s="223"/>
      <c r="G370" s="224"/>
      <c r="H370" s="209"/>
      <c r="I370" s="209"/>
      <c r="J370" s="209"/>
      <c r="K370" s="171"/>
      <c r="L370" s="225"/>
      <c r="M370" s="225"/>
      <c r="N370" s="230"/>
      <c r="O370" s="228"/>
      <c r="P370" s="231"/>
      <c r="Q370" s="228"/>
      <c r="R370" s="231"/>
      <c r="S370" s="229"/>
      <c r="T370" s="229"/>
      <c r="U370" s="217"/>
      <c r="V370" s="217"/>
      <c r="W370" s="218"/>
      <c r="X370" s="220"/>
    </row>
    <row r="371" spans="1:24" s="75" customFormat="1" ht="25.65" customHeight="1">
      <c r="A371" s="218"/>
      <c r="B371" s="221"/>
      <c r="C371" s="222"/>
      <c r="D371" s="223"/>
      <c r="E371" s="223"/>
      <c r="F371" s="223"/>
      <c r="G371" s="224"/>
      <c r="H371" s="209"/>
      <c r="I371" s="209"/>
      <c r="J371" s="209"/>
      <c r="K371" s="171"/>
      <c r="L371" s="225"/>
      <c r="M371" s="225"/>
      <c r="N371" s="230"/>
      <c r="O371" s="228"/>
      <c r="P371" s="231"/>
      <c r="Q371" s="228"/>
      <c r="R371" s="231"/>
      <c r="S371" s="229"/>
      <c r="T371" s="229"/>
      <c r="U371" s="217"/>
      <c r="V371" s="217"/>
      <c r="W371" s="218"/>
      <c r="X371" s="220"/>
    </row>
    <row r="372" spans="1:24" s="75" customFormat="1" ht="25.65" customHeight="1">
      <c r="A372" s="218"/>
      <c r="B372" s="221"/>
      <c r="C372" s="222"/>
      <c r="D372" s="223"/>
      <c r="E372" s="223"/>
      <c r="F372" s="223"/>
      <c r="G372" s="224"/>
      <c r="H372" s="209"/>
      <c r="I372" s="209"/>
      <c r="J372" s="209"/>
      <c r="K372" s="171"/>
      <c r="L372" s="225"/>
      <c r="M372" s="225"/>
      <c r="N372" s="230"/>
      <c r="O372" s="228"/>
      <c r="P372" s="231"/>
      <c r="Q372" s="228"/>
      <c r="R372" s="231"/>
      <c r="S372" s="229"/>
      <c r="T372" s="229"/>
      <c r="U372" s="217"/>
      <c r="V372" s="217"/>
      <c r="W372" s="218"/>
      <c r="X372" s="220"/>
    </row>
    <row r="373" spans="1:24" s="75" customFormat="1" ht="25.65" customHeight="1">
      <c r="A373" s="218"/>
      <c r="B373" s="221"/>
      <c r="C373" s="222"/>
      <c r="D373" s="223"/>
      <c r="E373" s="223"/>
      <c r="F373" s="223"/>
      <c r="G373" s="224"/>
      <c r="H373" s="209"/>
      <c r="I373" s="209"/>
      <c r="J373" s="209"/>
      <c r="K373" s="171"/>
      <c r="L373" s="225"/>
      <c r="M373" s="225"/>
      <c r="N373" s="230"/>
      <c r="O373" s="228"/>
      <c r="P373" s="231"/>
      <c r="Q373" s="228"/>
      <c r="R373" s="231"/>
      <c r="S373" s="229"/>
      <c r="T373" s="229"/>
      <c r="U373" s="217"/>
      <c r="V373" s="217"/>
      <c r="W373" s="218"/>
      <c r="X373" s="220"/>
    </row>
    <row r="374" spans="1:24" s="75" customFormat="1" ht="25.65" customHeight="1">
      <c r="A374" s="218"/>
      <c r="B374" s="221"/>
      <c r="C374" s="222"/>
      <c r="D374" s="223"/>
      <c r="E374" s="223"/>
      <c r="F374" s="223"/>
      <c r="G374" s="224"/>
      <c r="H374" s="209"/>
      <c r="I374" s="209"/>
      <c r="J374" s="209"/>
      <c r="K374" s="171"/>
      <c r="L374" s="225"/>
      <c r="M374" s="225"/>
      <c r="N374" s="230"/>
      <c r="O374" s="228"/>
      <c r="P374" s="231"/>
      <c r="Q374" s="228"/>
      <c r="R374" s="231"/>
      <c r="S374" s="229"/>
      <c r="T374" s="229"/>
      <c r="U374" s="217"/>
      <c r="V374" s="217"/>
      <c r="W374" s="218"/>
      <c r="X374" s="220"/>
    </row>
    <row r="375" spans="1:24" s="75" customFormat="1" ht="25.65" customHeight="1">
      <c r="A375" s="218"/>
      <c r="B375" s="221"/>
      <c r="C375" s="222"/>
      <c r="D375" s="223"/>
      <c r="E375" s="223"/>
      <c r="F375" s="223"/>
      <c r="G375" s="224"/>
      <c r="H375" s="209"/>
      <c r="I375" s="209"/>
      <c r="J375" s="209"/>
      <c r="K375" s="171"/>
      <c r="L375" s="225"/>
      <c r="M375" s="225"/>
      <c r="N375" s="230"/>
      <c r="O375" s="228"/>
      <c r="P375" s="231"/>
      <c r="Q375" s="228"/>
      <c r="R375" s="231"/>
      <c r="S375" s="229"/>
      <c r="T375" s="229"/>
      <c r="U375" s="217"/>
      <c r="V375" s="217"/>
      <c r="W375" s="218"/>
      <c r="X375" s="220"/>
    </row>
    <row r="376" spans="1:24" s="75" customFormat="1" ht="25.65" customHeight="1">
      <c r="A376" s="218"/>
      <c r="B376" s="221"/>
      <c r="C376" s="222"/>
      <c r="D376" s="223"/>
      <c r="E376" s="223"/>
      <c r="F376" s="223"/>
      <c r="G376" s="224"/>
      <c r="H376" s="209"/>
      <c r="I376" s="209"/>
      <c r="J376" s="209"/>
      <c r="K376" s="171"/>
      <c r="L376" s="225"/>
      <c r="M376" s="225"/>
      <c r="N376" s="230"/>
      <c r="O376" s="228"/>
      <c r="P376" s="231"/>
      <c r="Q376" s="228"/>
      <c r="R376" s="231"/>
      <c r="S376" s="229"/>
      <c r="T376" s="229"/>
      <c r="U376" s="217"/>
      <c r="V376" s="217"/>
      <c r="W376" s="218"/>
      <c r="X376" s="220"/>
    </row>
    <row r="377" spans="1:24" s="75" customFormat="1" ht="25.65" customHeight="1">
      <c r="A377" s="218"/>
      <c r="B377" s="221"/>
      <c r="C377" s="222"/>
      <c r="D377" s="223"/>
      <c r="E377" s="223"/>
      <c r="F377" s="223"/>
      <c r="G377" s="224"/>
      <c r="H377" s="209"/>
      <c r="I377" s="209"/>
      <c r="J377" s="209"/>
      <c r="K377" s="171"/>
      <c r="L377" s="225"/>
      <c r="M377" s="225"/>
      <c r="N377" s="230"/>
      <c r="O377" s="228"/>
      <c r="P377" s="231"/>
      <c r="Q377" s="228"/>
      <c r="R377" s="231"/>
      <c r="S377" s="229"/>
      <c r="T377" s="229"/>
      <c r="U377" s="217"/>
      <c r="V377" s="217"/>
      <c r="W377" s="218"/>
      <c r="X377" s="220"/>
    </row>
    <row r="378" spans="1:24" s="75" customFormat="1" ht="25.65" customHeight="1">
      <c r="A378" s="218"/>
      <c r="B378" s="221"/>
      <c r="C378" s="222"/>
      <c r="D378" s="223"/>
      <c r="E378" s="223"/>
      <c r="F378" s="223"/>
      <c r="G378" s="224"/>
      <c r="H378" s="209"/>
      <c r="I378" s="209"/>
      <c r="J378" s="209"/>
      <c r="K378" s="171"/>
      <c r="L378" s="225"/>
      <c r="M378" s="225"/>
      <c r="N378" s="230"/>
      <c r="O378" s="228"/>
      <c r="P378" s="231"/>
      <c r="Q378" s="228"/>
      <c r="R378" s="231"/>
      <c r="S378" s="229"/>
      <c r="T378" s="229"/>
      <c r="U378" s="217"/>
      <c r="V378" s="217"/>
      <c r="W378" s="218"/>
      <c r="X378" s="220"/>
    </row>
    <row r="379" spans="1:24" s="75" customFormat="1" ht="25.65" customHeight="1">
      <c r="A379" s="218"/>
      <c r="B379" s="221"/>
      <c r="C379" s="222"/>
      <c r="D379" s="223"/>
      <c r="E379" s="223"/>
      <c r="F379" s="223"/>
      <c r="G379" s="224"/>
      <c r="H379" s="209"/>
      <c r="I379" s="209"/>
      <c r="J379" s="209"/>
      <c r="K379" s="171"/>
      <c r="L379" s="225"/>
      <c r="M379" s="225"/>
      <c r="N379" s="230"/>
      <c r="O379" s="228"/>
      <c r="P379" s="231"/>
      <c r="Q379" s="228"/>
      <c r="R379" s="231"/>
      <c r="S379" s="229"/>
      <c r="T379" s="229"/>
      <c r="U379" s="217"/>
      <c r="V379" s="217"/>
      <c r="W379" s="218"/>
      <c r="X379" s="220"/>
    </row>
    <row r="380" spans="1:24" s="75" customFormat="1" ht="25.65" customHeight="1">
      <c r="A380" s="218"/>
      <c r="B380" s="221"/>
      <c r="C380" s="222"/>
      <c r="D380" s="223"/>
      <c r="E380" s="223"/>
      <c r="F380" s="223"/>
      <c r="G380" s="224"/>
      <c r="H380" s="209"/>
      <c r="I380" s="209"/>
      <c r="J380" s="209"/>
      <c r="K380" s="171"/>
      <c r="L380" s="225"/>
      <c r="M380" s="225"/>
      <c r="N380" s="230"/>
      <c r="O380" s="228"/>
      <c r="P380" s="231"/>
      <c r="Q380" s="228"/>
      <c r="R380" s="231"/>
      <c r="S380" s="229"/>
      <c r="T380" s="229"/>
      <c r="U380" s="217"/>
      <c r="V380" s="217"/>
      <c r="W380" s="218"/>
      <c r="X380" s="220"/>
    </row>
    <row r="381" spans="1:24" s="75" customFormat="1" ht="25.65" customHeight="1">
      <c r="A381" s="218"/>
      <c r="B381" s="221"/>
      <c r="C381" s="222"/>
      <c r="D381" s="223"/>
      <c r="E381" s="223"/>
      <c r="F381" s="223"/>
      <c r="G381" s="224"/>
      <c r="H381" s="209"/>
      <c r="I381" s="209"/>
      <c r="J381" s="209"/>
      <c r="K381" s="171"/>
      <c r="L381" s="225"/>
      <c r="M381" s="225"/>
      <c r="N381" s="230"/>
      <c r="O381" s="228"/>
      <c r="P381" s="231"/>
      <c r="Q381" s="228"/>
      <c r="R381" s="231"/>
      <c r="S381" s="229"/>
      <c r="T381" s="229"/>
      <c r="U381" s="217"/>
      <c r="V381" s="217"/>
      <c r="W381" s="218"/>
      <c r="X381" s="220"/>
    </row>
    <row r="382" spans="1:24" s="75" customFormat="1" ht="25.65" customHeight="1">
      <c r="A382" s="218"/>
      <c r="B382" s="221"/>
      <c r="C382" s="222"/>
      <c r="D382" s="223"/>
      <c r="E382" s="223"/>
      <c r="F382" s="223"/>
      <c r="G382" s="224"/>
      <c r="H382" s="209"/>
      <c r="I382" s="209"/>
      <c r="J382" s="209"/>
      <c r="K382" s="171"/>
      <c r="L382" s="225"/>
      <c r="M382" s="225"/>
      <c r="N382" s="230"/>
      <c r="O382" s="228"/>
      <c r="P382" s="231"/>
      <c r="Q382" s="228"/>
      <c r="R382" s="231"/>
      <c r="S382" s="229"/>
      <c r="T382" s="229"/>
      <c r="U382" s="217"/>
      <c r="V382" s="217"/>
      <c r="W382" s="218"/>
      <c r="X382" s="220"/>
    </row>
    <row r="383" spans="1:24" s="75" customFormat="1" ht="25.65" customHeight="1">
      <c r="A383" s="218"/>
      <c r="B383" s="221"/>
      <c r="C383" s="222"/>
      <c r="D383" s="223"/>
      <c r="E383" s="223"/>
      <c r="F383" s="223"/>
      <c r="G383" s="224"/>
      <c r="H383" s="209"/>
      <c r="I383" s="209"/>
      <c r="J383" s="209"/>
      <c r="K383" s="171"/>
      <c r="L383" s="225"/>
      <c r="M383" s="225"/>
      <c r="N383" s="230"/>
      <c r="O383" s="228"/>
      <c r="P383" s="231"/>
      <c r="Q383" s="228"/>
      <c r="R383" s="231"/>
      <c r="S383" s="229"/>
      <c r="T383" s="229"/>
      <c r="U383" s="217"/>
      <c r="V383" s="217"/>
      <c r="W383" s="218"/>
      <c r="X383" s="220"/>
    </row>
    <row r="384" spans="1:24" s="75" customFormat="1" ht="25.65" customHeight="1">
      <c r="A384" s="218"/>
      <c r="B384" s="221"/>
      <c r="C384" s="222"/>
      <c r="D384" s="223"/>
      <c r="E384" s="223"/>
      <c r="F384" s="223"/>
      <c r="G384" s="224"/>
      <c r="H384" s="209"/>
      <c r="I384" s="209"/>
      <c r="J384" s="209"/>
      <c r="K384" s="171"/>
      <c r="L384" s="225"/>
      <c r="M384" s="225"/>
      <c r="N384" s="230"/>
      <c r="O384" s="228"/>
      <c r="P384" s="231"/>
      <c r="Q384" s="228"/>
      <c r="R384" s="231"/>
      <c r="S384" s="229"/>
      <c r="T384" s="229"/>
      <c r="U384" s="217"/>
      <c r="V384" s="217"/>
      <c r="W384" s="218"/>
      <c r="X384" s="220"/>
    </row>
    <row r="385" spans="1:24" s="75" customFormat="1" ht="25.65" customHeight="1">
      <c r="A385" s="218"/>
      <c r="B385" s="221"/>
      <c r="C385" s="222"/>
      <c r="D385" s="223"/>
      <c r="E385" s="223"/>
      <c r="F385" s="223"/>
      <c r="G385" s="224"/>
      <c r="H385" s="209"/>
      <c r="I385" s="209"/>
      <c r="J385" s="209"/>
      <c r="K385" s="171"/>
      <c r="L385" s="225"/>
      <c r="M385" s="225"/>
      <c r="N385" s="230"/>
      <c r="O385" s="228"/>
      <c r="P385" s="231"/>
      <c r="Q385" s="228"/>
      <c r="R385" s="231"/>
      <c r="S385" s="229"/>
      <c r="T385" s="229"/>
      <c r="U385" s="217"/>
      <c r="V385" s="217"/>
      <c r="W385" s="218"/>
      <c r="X385" s="220"/>
    </row>
    <row r="386" spans="1:24" s="75" customFormat="1" ht="25.65" customHeight="1">
      <c r="A386" s="218"/>
      <c r="B386" s="221"/>
      <c r="C386" s="222"/>
      <c r="D386" s="223"/>
      <c r="E386" s="223"/>
      <c r="F386" s="223"/>
      <c r="G386" s="224"/>
      <c r="H386" s="209"/>
      <c r="I386" s="209"/>
      <c r="J386" s="209"/>
      <c r="K386" s="171"/>
      <c r="L386" s="225"/>
      <c r="M386" s="225"/>
      <c r="N386" s="230"/>
      <c r="O386" s="228"/>
      <c r="P386" s="231"/>
      <c r="Q386" s="228"/>
      <c r="R386" s="231"/>
      <c r="S386" s="229"/>
      <c r="T386" s="229"/>
      <c r="U386" s="217"/>
      <c r="V386" s="217"/>
      <c r="W386" s="218"/>
      <c r="X386" s="220"/>
    </row>
    <row r="387" spans="1:24" s="75" customFormat="1" ht="25.65" customHeight="1">
      <c r="A387" s="218"/>
      <c r="B387" s="221"/>
      <c r="C387" s="222"/>
      <c r="D387" s="223"/>
      <c r="E387" s="223"/>
      <c r="F387" s="223"/>
      <c r="G387" s="224"/>
      <c r="H387" s="209"/>
      <c r="I387" s="209"/>
      <c r="J387" s="209"/>
      <c r="K387" s="171"/>
      <c r="L387" s="225"/>
      <c r="M387" s="225"/>
      <c r="N387" s="230"/>
      <c r="O387" s="228"/>
      <c r="P387" s="231"/>
      <c r="Q387" s="228"/>
      <c r="R387" s="231"/>
      <c r="S387" s="229"/>
      <c r="T387" s="229"/>
      <c r="U387" s="217"/>
      <c r="V387" s="217"/>
      <c r="W387" s="218"/>
      <c r="X387" s="220"/>
    </row>
    <row r="388" spans="1:24" s="75" customFormat="1" ht="25.65" customHeight="1">
      <c r="A388" s="218"/>
      <c r="B388" s="221"/>
      <c r="C388" s="222"/>
      <c r="D388" s="223"/>
      <c r="E388" s="223"/>
      <c r="F388" s="223"/>
      <c r="G388" s="224"/>
      <c r="H388" s="209"/>
      <c r="I388" s="209"/>
      <c r="J388" s="209"/>
      <c r="K388" s="171"/>
      <c r="L388" s="225"/>
      <c r="M388" s="225"/>
      <c r="N388" s="230"/>
      <c r="O388" s="228"/>
      <c r="P388" s="231"/>
      <c r="Q388" s="228"/>
      <c r="R388" s="231"/>
      <c r="S388" s="229"/>
      <c r="T388" s="229"/>
      <c r="U388" s="217"/>
      <c r="V388" s="217"/>
      <c r="W388" s="218"/>
      <c r="X388" s="220"/>
    </row>
    <row r="389" spans="1:24" s="75" customFormat="1" ht="25.65" customHeight="1">
      <c r="A389" s="218"/>
      <c r="B389" s="221"/>
      <c r="C389" s="222"/>
      <c r="D389" s="223"/>
      <c r="E389" s="223"/>
      <c r="F389" s="223"/>
      <c r="G389" s="224"/>
      <c r="H389" s="209"/>
      <c r="I389" s="209"/>
      <c r="J389" s="209"/>
      <c r="K389" s="171"/>
      <c r="L389" s="225"/>
      <c r="M389" s="225"/>
      <c r="N389" s="230"/>
      <c r="O389" s="228"/>
      <c r="P389" s="231"/>
      <c r="Q389" s="228"/>
      <c r="R389" s="231"/>
      <c r="S389" s="229"/>
      <c r="T389" s="229"/>
      <c r="U389" s="217"/>
      <c r="V389" s="217"/>
      <c r="W389" s="218"/>
      <c r="X389" s="220"/>
    </row>
    <row r="390" spans="1:24" s="75" customFormat="1" ht="25.65" customHeight="1">
      <c r="A390" s="218"/>
      <c r="B390" s="221"/>
      <c r="C390" s="222"/>
      <c r="D390" s="223"/>
      <c r="E390" s="223"/>
      <c r="F390" s="223"/>
      <c r="G390" s="224"/>
      <c r="H390" s="209"/>
      <c r="I390" s="209"/>
      <c r="J390" s="209"/>
      <c r="K390" s="171"/>
      <c r="L390" s="225"/>
      <c r="M390" s="225"/>
      <c r="N390" s="230"/>
      <c r="O390" s="228"/>
      <c r="P390" s="231"/>
      <c r="Q390" s="228"/>
      <c r="R390" s="231"/>
      <c r="S390" s="229"/>
      <c r="T390" s="229"/>
      <c r="U390" s="217"/>
      <c r="V390" s="217"/>
      <c r="W390" s="218"/>
      <c r="X390" s="220"/>
    </row>
    <row r="391" spans="1:24" s="75" customFormat="1" ht="25.65" customHeight="1">
      <c r="A391" s="218"/>
      <c r="B391" s="221"/>
      <c r="C391" s="222"/>
      <c r="D391" s="223"/>
      <c r="E391" s="223"/>
      <c r="F391" s="223"/>
      <c r="G391" s="224"/>
      <c r="H391" s="209"/>
      <c r="I391" s="209"/>
      <c r="J391" s="209"/>
      <c r="K391" s="171"/>
      <c r="L391" s="225"/>
      <c r="M391" s="225"/>
      <c r="N391" s="230"/>
      <c r="O391" s="228"/>
      <c r="P391" s="231"/>
      <c r="Q391" s="228"/>
      <c r="R391" s="231"/>
      <c r="S391" s="229"/>
      <c r="T391" s="229"/>
      <c r="U391" s="217"/>
      <c r="V391" s="217"/>
      <c r="W391" s="218"/>
      <c r="X391" s="220"/>
    </row>
    <row r="392" spans="1:24" s="75" customFormat="1" ht="25.65" customHeight="1">
      <c r="A392" s="218"/>
      <c r="B392" s="221"/>
      <c r="C392" s="222"/>
      <c r="D392" s="223"/>
      <c r="E392" s="223"/>
      <c r="F392" s="223"/>
      <c r="G392" s="224"/>
      <c r="H392" s="209"/>
      <c r="I392" s="209"/>
      <c r="J392" s="209"/>
      <c r="K392" s="171"/>
      <c r="L392" s="225"/>
      <c r="M392" s="225"/>
      <c r="N392" s="230"/>
      <c r="O392" s="228"/>
      <c r="P392" s="231"/>
      <c r="Q392" s="228"/>
      <c r="R392" s="231"/>
      <c r="S392" s="229"/>
      <c r="T392" s="229"/>
      <c r="U392" s="217"/>
      <c r="V392" s="217"/>
      <c r="W392" s="218"/>
      <c r="X392" s="220"/>
    </row>
    <row r="393" spans="1:24" s="75" customFormat="1" ht="25.65" customHeight="1">
      <c r="A393" s="218"/>
      <c r="B393" s="221"/>
      <c r="C393" s="222"/>
      <c r="D393" s="223"/>
      <c r="E393" s="223"/>
      <c r="F393" s="223"/>
      <c r="G393" s="224"/>
      <c r="H393" s="209"/>
      <c r="I393" s="209"/>
      <c r="J393" s="209"/>
      <c r="K393" s="171"/>
      <c r="L393" s="225"/>
      <c r="M393" s="225"/>
      <c r="N393" s="230"/>
      <c r="O393" s="228"/>
      <c r="P393" s="231"/>
      <c r="Q393" s="228"/>
      <c r="R393" s="231"/>
      <c r="S393" s="229"/>
      <c r="T393" s="229"/>
      <c r="U393" s="217"/>
      <c r="V393" s="217"/>
      <c r="W393" s="218"/>
      <c r="X393" s="220"/>
    </row>
    <row r="394" spans="1:24" s="75" customFormat="1" ht="25.65" customHeight="1">
      <c r="A394" s="218"/>
      <c r="B394" s="221"/>
      <c r="C394" s="222"/>
      <c r="D394" s="223"/>
      <c r="E394" s="223"/>
      <c r="F394" s="223"/>
      <c r="G394" s="224"/>
      <c r="H394" s="209"/>
      <c r="I394" s="209"/>
      <c r="J394" s="209"/>
      <c r="K394" s="171"/>
      <c r="L394" s="225"/>
      <c r="M394" s="225"/>
      <c r="N394" s="230"/>
      <c r="O394" s="228"/>
      <c r="P394" s="231"/>
      <c r="Q394" s="228"/>
      <c r="R394" s="231"/>
      <c r="S394" s="229"/>
      <c r="T394" s="229"/>
      <c r="U394" s="217"/>
      <c r="V394" s="217"/>
      <c r="W394" s="218"/>
      <c r="X394" s="220"/>
    </row>
    <row r="395" spans="1:24" s="75" customFormat="1" ht="25.65" customHeight="1">
      <c r="A395" s="218"/>
      <c r="B395" s="221"/>
      <c r="C395" s="222"/>
      <c r="D395" s="223"/>
      <c r="E395" s="223"/>
      <c r="F395" s="223"/>
      <c r="G395" s="224"/>
      <c r="H395" s="209"/>
      <c r="I395" s="209"/>
      <c r="J395" s="209"/>
      <c r="K395" s="171"/>
      <c r="L395" s="225"/>
      <c r="M395" s="225"/>
      <c r="N395" s="230"/>
      <c r="O395" s="228"/>
      <c r="P395" s="231"/>
      <c r="Q395" s="228"/>
      <c r="R395" s="231"/>
      <c r="S395" s="229"/>
      <c r="T395" s="229"/>
      <c r="U395" s="217"/>
      <c r="V395" s="217"/>
      <c r="W395" s="218"/>
      <c r="X395" s="220"/>
    </row>
    <row r="396" spans="1:24" s="75" customFormat="1" ht="25.65" customHeight="1">
      <c r="A396" s="218"/>
      <c r="B396" s="221"/>
      <c r="C396" s="222"/>
      <c r="D396" s="223"/>
      <c r="E396" s="223"/>
      <c r="F396" s="223"/>
      <c r="G396" s="224"/>
      <c r="H396" s="209"/>
      <c r="I396" s="209"/>
      <c r="J396" s="209"/>
      <c r="K396" s="171"/>
      <c r="L396" s="225"/>
      <c r="M396" s="225"/>
      <c r="N396" s="230"/>
      <c r="O396" s="228"/>
      <c r="P396" s="231"/>
      <c r="Q396" s="228"/>
      <c r="R396" s="231"/>
      <c r="S396" s="229"/>
      <c r="T396" s="229"/>
      <c r="U396" s="217"/>
      <c r="V396" s="217"/>
      <c r="W396" s="218"/>
      <c r="X396" s="220"/>
    </row>
    <row r="397" spans="1:24" s="75" customFormat="1" ht="25.65" customHeight="1">
      <c r="A397" s="218"/>
      <c r="B397" s="221"/>
      <c r="C397" s="222"/>
      <c r="D397" s="223"/>
      <c r="E397" s="223"/>
      <c r="F397" s="223"/>
      <c r="G397" s="224"/>
      <c r="H397" s="209"/>
      <c r="I397" s="209"/>
      <c r="J397" s="209"/>
      <c r="K397" s="171"/>
      <c r="L397" s="225"/>
      <c r="M397" s="225"/>
      <c r="N397" s="230"/>
      <c r="O397" s="228"/>
      <c r="P397" s="231"/>
      <c r="Q397" s="228"/>
      <c r="R397" s="231"/>
      <c r="S397" s="229"/>
      <c r="T397" s="229"/>
      <c r="U397" s="217"/>
      <c r="V397" s="217"/>
      <c r="W397" s="218"/>
      <c r="X397" s="220"/>
    </row>
    <row r="398" spans="1:24" s="75" customFormat="1" ht="25.65" customHeight="1">
      <c r="A398" s="218"/>
      <c r="B398" s="221"/>
      <c r="C398" s="222"/>
      <c r="D398" s="223"/>
      <c r="E398" s="223"/>
      <c r="F398" s="223"/>
      <c r="G398" s="224"/>
      <c r="H398" s="209"/>
      <c r="I398" s="209"/>
      <c r="J398" s="209"/>
      <c r="K398" s="171"/>
      <c r="L398" s="225"/>
      <c r="M398" s="225"/>
      <c r="N398" s="230"/>
      <c r="O398" s="228"/>
      <c r="P398" s="231"/>
      <c r="Q398" s="228"/>
      <c r="R398" s="231"/>
      <c r="S398" s="229"/>
      <c r="T398" s="229"/>
      <c r="U398" s="217"/>
      <c r="V398" s="217"/>
      <c r="W398" s="218"/>
      <c r="X398" s="220"/>
    </row>
    <row r="399" spans="1:24" s="75" customFormat="1" ht="25.65" customHeight="1">
      <c r="A399" s="218"/>
      <c r="B399" s="221"/>
      <c r="C399" s="222"/>
      <c r="D399" s="223"/>
      <c r="E399" s="223"/>
      <c r="F399" s="223"/>
      <c r="G399" s="224"/>
      <c r="H399" s="209"/>
      <c r="I399" s="209"/>
      <c r="J399" s="209"/>
      <c r="K399" s="171"/>
      <c r="L399" s="225"/>
      <c r="M399" s="225"/>
      <c r="N399" s="230"/>
      <c r="O399" s="228"/>
      <c r="P399" s="231"/>
      <c r="Q399" s="228"/>
      <c r="R399" s="231"/>
      <c r="S399" s="229"/>
      <c r="T399" s="229"/>
      <c r="U399" s="217"/>
      <c r="V399" s="217"/>
      <c r="W399" s="218"/>
      <c r="X399" s="220"/>
    </row>
    <row r="400" spans="1:24" s="75" customFormat="1" ht="25.65" customHeight="1">
      <c r="A400" s="218"/>
      <c r="B400" s="221"/>
      <c r="C400" s="222"/>
      <c r="D400" s="223"/>
      <c r="E400" s="223"/>
      <c r="F400" s="223"/>
      <c r="G400" s="224"/>
      <c r="H400" s="209"/>
      <c r="I400" s="209"/>
      <c r="J400" s="209"/>
      <c r="K400" s="171"/>
      <c r="L400" s="225"/>
      <c r="M400" s="225"/>
      <c r="N400" s="230"/>
      <c r="O400" s="228"/>
      <c r="P400" s="231"/>
      <c r="Q400" s="228"/>
      <c r="R400" s="231"/>
      <c r="S400" s="229"/>
      <c r="T400" s="229"/>
      <c r="U400" s="217"/>
      <c r="V400" s="217"/>
      <c r="W400" s="218"/>
      <c r="X400" s="220"/>
    </row>
    <row r="401" spans="1:24" s="75" customFormat="1" ht="25.65" customHeight="1">
      <c r="A401" s="218"/>
      <c r="B401" s="221"/>
      <c r="C401" s="222"/>
      <c r="D401" s="223"/>
      <c r="E401" s="223"/>
      <c r="F401" s="223"/>
      <c r="G401" s="224"/>
      <c r="H401" s="209"/>
      <c r="I401" s="209"/>
      <c r="J401" s="209"/>
      <c r="K401" s="171"/>
      <c r="L401" s="225"/>
      <c r="M401" s="225"/>
      <c r="N401" s="230"/>
      <c r="O401" s="228"/>
      <c r="P401" s="231"/>
      <c r="Q401" s="228"/>
      <c r="R401" s="231"/>
      <c r="S401" s="229"/>
      <c r="T401" s="229"/>
      <c r="U401" s="217"/>
      <c r="V401" s="217"/>
      <c r="W401" s="218"/>
      <c r="X401" s="220"/>
    </row>
    <row r="402" spans="1:24" s="75" customFormat="1" ht="25.65" customHeight="1">
      <c r="A402" s="218"/>
      <c r="B402" s="221"/>
      <c r="C402" s="222"/>
      <c r="D402" s="223"/>
      <c r="E402" s="223"/>
      <c r="F402" s="223"/>
      <c r="G402" s="224"/>
      <c r="H402" s="209"/>
      <c r="I402" s="209"/>
      <c r="J402" s="209"/>
      <c r="K402" s="171"/>
      <c r="L402" s="225"/>
      <c r="M402" s="225"/>
      <c r="N402" s="230"/>
      <c r="O402" s="228"/>
      <c r="P402" s="231"/>
      <c r="Q402" s="228"/>
      <c r="R402" s="231"/>
      <c r="S402" s="229"/>
      <c r="T402" s="229"/>
      <c r="U402" s="217"/>
      <c r="V402" s="217"/>
      <c r="W402" s="218"/>
      <c r="X402" s="220"/>
    </row>
    <row r="403" spans="1:24" s="75" customFormat="1" ht="25.65" customHeight="1">
      <c r="A403" s="218"/>
      <c r="B403" s="221"/>
      <c r="C403" s="222"/>
      <c r="D403" s="223"/>
      <c r="E403" s="223"/>
      <c r="F403" s="223"/>
      <c r="G403" s="224"/>
      <c r="H403" s="209"/>
      <c r="I403" s="209"/>
      <c r="J403" s="209"/>
      <c r="K403" s="171"/>
      <c r="L403" s="225"/>
      <c r="M403" s="225"/>
      <c r="N403" s="230"/>
      <c r="O403" s="228"/>
      <c r="P403" s="231"/>
      <c r="Q403" s="228"/>
      <c r="R403" s="231"/>
      <c r="S403" s="229"/>
      <c r="T403" s="229"/>
      <c r="U403" s="217"/>
      <c r="V403" s="217"/>
      <c r="W403" s="218"/>
      <c r="X403" s="220"/>
    </row>
    <row r="404" spans="1:24" s="75" customFormat="1" ht="25.65" customHeight="1">
      <c r="A404" s="218"/>
      <c r="B404" s="221"/>
      <c r="C404" s="222"/>
      <c r="D404" s="223"/>
      <c r="E404" s="223"/>
      <c r="F404" s="223"/>
      <c r="G404" s="224"/>
      <c r="H404" s="209"/>
      <c r="I404" s="209"/>
      <c r="J404" s="209"/>
      <c r="K404" s="171"/>
      <c r="L404" s="225"/>
      <c r="M404" s="225"/>
      <c r="N404" s="230"/>
      <c r="O404" s="228"/>
      <c r="P404" s="231"/>
      <c r="Q404" s="228"/>
      <c r="R404" s="231"/>
      <c r="S404" s="229"/>
      <c r="T404" s="229"/>
      <c r="U404" s="217"/>
      <c r="V404" s="217"/>
      <c r="W404" s="218"/>
      <c r="X404" s="220"/>
    </row>
    <row r="405" spans="1:24" s="75" customFormat="1" ht="25.65" customHeight="1">
      <c r="A405" s="218"/>
      <c r="B405" s="221"/>
      <c r="C405" s="222"/>
      <c r="D405" s="223"/>
      <c r="E405" s="223"/>
      <c r="F405" s="223"/>
      <c r="G405" s="224"/>
      <c r="H405" s="209"/>
      <c r="I405" s="209"/>
      <c r="J405" s="209"/>
      <c r="K405" s="171"/>
      <c r="L405" s="225"/>
      <c r="M405" s="225"/>
      <c r="N405" s="230"/>
      <c r="O405" s="228"/>
      <c r="P405" s="231"/>
      <c r="Q405" s="228"/>
      <c r="R405" s="231"/>
      <c r="S405" s="229"/>
      <c r="T405" s="229"/>
      <c r="U405" s="217"/>
      <c r="V405" s="217"/>
      <c r="W405" s="218"/>
      <c r="X405" s="220"/>
    </row>
    <row r="406" spans="1:24" s="75" customFormat="1" ht="25.65" customHeight="1">
      <c r="A406" s="218"/>
      <c r="B406" s="221"/>
      <c r="C406" s="222"/>
      <c r="D406" s="223"/>
      <c r="E406" s="223"/>
      <c r="F406" s="223"/>
      <c r="G406" s="224"/>
      <c r="H406" s="209"/>
      <c r="I406" s="209"/>
      <c r="J406" s="209"/>
      <c r="K406" s="171"/>
      <c r="L406" s="225"/>
      <c r="M406" s="225"/>
      <c r="N406" s="230"/>
      <c r="O406" s="228"/>
      <c r="P406" s="231"/>
      <c r="Q406" s="228"/>
      <c r="R406" s="231"/>
      <c r="S406" s="229"/>
      <c r="T406" s="229"/>
      <c r="U406" s="217"/>
      <c r="V406" s="217"/>
      <c r="W406" s="218"/>
      <c r="X406" s="220"/>
    </row>
    <row r="407" spans="1:24" s="75" customFormat="1" ht="25.65" customHeight="1">
      <c r="A407" s="218"/>
      <c r="B407" s="221"/>
      <c r="C407" s="222"/>
      <c r="D407" s="223"/>
      <c r="E407" s="223"/>
      <c r="F407" s="223"/>
      <c r="G407" s="224"/>
      <c r="H407" s="209"/>
      <c r="I407" s="209"/>
      <c r="J407" s="209"/>
      <c r="K407" s="171"/>
      <c r="L407" s="225"/>
      <c r="M407" s="225"/>
      <c r="N407" s="230"/>
      <c r="O407" s="228"/>
      <c r="P407" s="231"/>
      <c r="Q407" s="228"/>
      <c r="R407" s="231"/>
      <c r="S407" s="229"/>
      <c r="T407" s="229"/>
      <c r="U407" s="217"/>
      <c r="V407" s="217"/>
      <c r="W407" s="218"/>
      <c r="X407" s="220"/>
    </row>
    <row r="408" spans="1:24" s="75" customFormat="1" ht="25.65" customHeight="1">
      <c r="A408" s="218"/>
      <c r="B408" s="221"/>
      <c r="C408" s="222"/>
      <c r="D408" s="223"/>
      <c r="E408" s="223"/>
      <c r="F408" s="223"/>
      <c r="G408" s="224"/>
      <c r="H408" s="209"/>
      <c r="I408" s="209"/>
      <c r="J408" s="209"/>
      <c r="K408" s="171"/>
      <c r="L408" s="225"/>
      <c r="M408" s="225"/>
      <c r="N408" s="230"/>
      <c r="O408" s="228"/>
      <c r="P408" s="231"/>
      <c r="Q408" s="228"/>
      <c r="R408" s="231"/>
      <c r="S408" s="229"/>
      <c r="T408" s="229"/>
      <c r="U408" s="217"/>
      <c r="V408" s="217"/>
      <c r="W408" s="218"/>
      <c r="X408" s="220"/>
    </row>
    <row r="409" spans="1:24" s="75" customFormat="1" ht="25.65" customHeight="1">
      <c r="A409" s="218"/>
      <c r="B409" s="221"/>
      <c r="C409" s="222"/>
      <c r="D409" s="223"/>
      <c r="E409" s="223"/>
      <c r="F409" s="223"/>
      <c r="G409" s="224"/>
      <c r="H409" s="209"/>
      <c r="I409" s="209"/>
      <c r="J409" s="209"/>
      <c r="K409" s="171"/>
      <c r="L409" s="225"/>
      <c r="M409" s="225"/>
      <c r="N409" s="230"/>
      <c r="O409" s="228"/>
      <c r="P409" s="231"/>
      <c r="Q409" s="228"/>
      <c r="R409" s="231"/>
      <c r="S409" s="229"/>
      <c r="T409" s="229"/>
      <c r="U409" s="217"/>
      <c r="V409" s="217"/>
      <c r="W409" s="218"/>
      <c r="X409" s="220"/>
    </row>
    <row r="410" spans="1:24" s="75" customFormat="1" ht="25.65" customHeight="1">
      <c r="A410" s="218"/>
      <c r="B410" s="221"/>
      <c r="C410" s="222"/>
      <c r="D410" s="223"/>
      <c r="E410" s="223"/>
      <c r="F410" s="223"/>
      <c r="G410" s="224"/>
      <c r="H410" s="209"/>
      <c r="I410" s="209"/>
      <c r="J410" s="209"/>
      <c r="K410" s="171"/>
      <c r="L410" s="225"/>
      <c r="M410" s="225"/>
      <c r="N410" s="230"/>
      <c r="O410" s="228"/>
      <c r="P410" s="231"/>
      <c r="Q410" s="228"/>
      <c r="R410" s="231"/>
      <c r="S410" s="229"/>
      <c r="T410" s="229"/>
      <c r="U410" s="217"/>
      <c r="V410" s="217"/>
      <c r="W410" s="218"/>
      <c r="X410" s="220"/>
    </row>
    <row r="411" spans="1:24" s="75" customFormat="1" ht="25.65" customHeight="1">
      <c r="A411" s="218"/>
      <c r="B411" s="221"/>
      <c r="C411" s="222"/>
      <c r="D411" s="223"/>
      <c r="E411" s="223"/>
      <c r="F411" s="223"/>
      <c r="G411" s="224"/>
      <c r="H411" s="209"/>
      <c r="I411" s="209"/>
      <c r="J411" s="209"/>
      <c r="K411" s="171"/>
      <c r="L411" s="225"/>
      <c r="M411" s="225"/>
      <c r="N411" s="230"/>
      <c r="O411" s="228"/>
      <c r="P411" s="231"/>
      <c r="Q411" s="228"/>
      <c r="R411" s="231"/>
      <c r="S411" s="229"/>
      <c r="T411" s="229"/>
      <c r="U411" s="217"/>
      <c r="V411" s="217"/>
      <c r="W411" s="218"/>
      <c r="X411" s="220"/>
    </row>
    <row r="412" spans="1:24" s="75" customFormat="1" ht="25.65" customHeight="1">
      <c r="A412" s="218"/>
      <c r="B412" s="221"/>
      <c r="C412" s="222"/>
      <c r="D412" s="223"/>
      <c r="E412" s="223"/>
      <c r="F412" s="223"/>
      <c r="G412" s="224"/>
      <c r="H412" s="209"/>
      <c r="I412" s="209"/>
      <c r="J412" s="209"/>
      <c r="K412" s="171"/>
      <c r="L412" s="225"/>
      <c r="M412" s="225"/>
      <c r="N412" s="230"/>
      <c r="O412" s="228"/>
      <c r="P412" s="231"/>
      <c r="Q412" s="228"/>
      <c r="R412" s="231"/>
      <c r="S412" s="229"/>
      <c r="T412" s="229"/>
      <c r="U412" s="217"/>
      <c r="V412" s="217"/>
      <c r="W412" s="218"/>
      <c r="X412" s="220"/>
    </row>
    <row r="413" spans="1:24" s="75" customFormat="1" ht="25.65" customHeight="1">
      <c r="A413" s="218"/>
      <c r="B413" s="221"/>
      <c r="C413" s="222"/>
      <c r="D413" s="223"/>
      <c r="E413" s="223"/>
      <c r="F413" s="223"/>
      <c r="G413" s="224"/>
      <c r="H413" s="209"/>
      <c r="I413" s="209"/>
      <c r="J413" s="209"/>
      <c r="K413" s="171"/>
      <c r="L413" s="225"/>
      <c r="M413" s="225"/>
      <c r="N413" s="230"/>
      <c r="O413" s="228"/>
      <c r="P413" s="231"/>
      <c r="Q413" s="228"/>
      <c r="R413" s="231"/>
      <c r="S413" s="229"/>
      <c r="T413" s="229"/>
      <c r="U413" s="217"/>
      <c r="V413" s="217"/>
      <c r="W413" s="218"/>
      <c r="X413" s="220"/>
    </row>
    <row r="414" spans="1:24" s="75" customFormat="1" ht="25.65" customHeight="1">
      <c r="A414" s="218"/>
      <c r="B414" s="221"/>
      <c r="C414" s="222"/>
      <c r="D414" s="223"/>
      <c r="E414" s="223"/>
      <c r="F414" s="223"/>
      <c r="G414" s="224"/>
      <c r="H414" s="209"/>
      <c r="I414" s="209"/>
      <c r="J414" s="209"/>
      <c r="K414" s="171"/>
      <c r="L414" s="225"/>
      <c r="M414" s="225"/>
      <c r="N414" s="230"/>
      <c r="O414" s="228"/>
      <c r="P414" s="231"/>
      <c r="Q414" s="228"/>
      <c r="R414" s="231"/>
      <c r="S414" s="229"/>
      <c r="T414" s="229"/>
      <c r="U414" s="217"/>
      <c r="V414" s="217"/>
      <c r="W414" s="218"/>
      <c r="X414" s="220"/>
    </row>
    <row r="415" spans="1:24" s="75" customFormat="1" ht="25.65" customHeight="1">
      <c r="A415" s="218"/>
      <c r="B415" s="221"/>
      <c r="C415" s="222"/>
      <c r="D415" s="223"/>
      <c r="E415" s="223"/>
      <c r="F415" s="223"/>
      <c r="G415" s="224"/>
      <c r="H415" s="209"/>
      <c r="I415" s="209"/>
      <c r="J415" s="209"/>
      <c r="K415" s="171"/>
      <c r="L415" s="225"/>
      <c r="M415" s="225"/>
      <c r="N415" s="230"/>
      <c r="O415" s="228"/>
      <c r="P415" s="231"/>
      <c r="Q415" s="228"/>
      <c r="R415" s="231"/>
      <c r="S415" s="229"/>
      <c r="T415" s="229"/>
      <c r="U415" s="217"/>
      <c r="V415" s="217"/>
      <c r="W415" s="218"/>
      <c r="X415" s="220"/>
    </row>
    <row r="416" spans="1:24" s="75" customFormat="1" ht="25.65" customHeight="1">
      <c r="A416" s="218"/>
      <c r="B416" s="221"/>
      <c r="C416" s="222"/>
      <c r="D416" s="223"/>
      <c r="E416" s="223"/>
      <c r="F416" s="223"/>
      <c r="G416" s="224"/>
      <c r="H416" s="209"/>
      <c r="I416" s="209"/>
      <c r="J416" s="209"/>
      <c r="K416" s="171"/>
      <c r="L416" s="225"/>
      <c r="M416" s="225"/>
      <c r="N416" s="230"/>
      <c r="O416" s="228"/>
      <c r="P416" s="231"/>
      <c r="Q416" s="228"/>
      <c r="R416" s="231"/>
      <c r="S416" s="229"/>
      <c r="T416" s="229"/>
      <c r="U416" s="217"/>
      <c r="V416" s="217"/>
      <c r="W416" s="218"/>
      <c r="X416" s="220"/>
    </row>
    <row r="417" spans="1:24" s="75" customFormat="1" ht="25.65" customHeight="1">
      <c r="A417" s="218"/>
      <c r="B417" s="221"/>
      <c r="C417" s="222"/>
      <c r="D417" s="223"/>
      <c r="E417" s="223"/>
      <c r="F417" s="223"/>
      <c r="G417" s="224"/>
      <c r="H417" s="209"/>
      <c r="I417" s="209"/>
      <c r="J417" s="209"/>
      <c r="K417" s="171"/>
      <c r="L417" s="225"/>
      <c r="M417" s="225"/>
      <c r="N417" s="230"/>
      <c r="O417" s="228"/>
      <c r="P417" s="231"/>
      <c r="Q417" s="228"/>
      <c r="R417" s="231"/>
      <c r="S417" s="229"/>
      <c r="T417" s="229"/>
      <c r="U417" s="217"/>
      <c r="V417" s="217"/>
      <c r="W417" s="218"/>
      <c r="X417" s="220"/>
    </row>
    <row r="418" spans="1:24" s="75" customFormat="1" ht="25.65" customHeight="1">
      <c r="A418" s="218"/>
      <c r="B418" s="221"/>
      <c r="C418" s="222"/>
      <c r="D418" s="223"/>
      <c r="E418" s="223"/>
      <c r="F418" s="223"/>
      <c r="G418" s="224"/>
      <c r="H418" s="209"/>
      <c r="I418" s="209"/>
      <c r="J418" s="209"/>
      <c r="K418" s="171"/>
      <c r="L418" s="225"/>
      <c r="M418" s="225"/>
      <c r="N418" s="230"/>
      <c r="O418" s="228"/>
      <c r="P418" s="231"/>
      <c r="Q418" s="228"/>
      <c r="R418" s="231"/>
      <c r="S418" s="229"/>
      <c r="T418" s="229"/>
      <c r="U418" s="217"/>
      <c r="V418" s="217"/>
      <c r="W418" s="218"/>
      <c r="X418" s="220"/>
    </row>
    <row r="419" spans="1:24" s="75" customFormat="1" ht="25.65" customHeight="1">
      <c r="A419" s="218"/>
      <c r="B419" s="221"/>
      <c r="C419" s="222"/>
      <c r="D419" s="223"/>
      <c r="E419" s="223"/>
      <c r="F419" s="223"/>
      <c r="G419" s="224"/>
      <c r="H419" s="209"/>
      <c r="I419" s="209"/>
      <c r="J419" s="209"/>
      <c r="K419" s="171"/>
      <c r="L419" s="225"/>
      <c r="M419" s="225"/>
      <c r="N419" s="230"/>
      <c r="O419" s="228"/>
      <c r="P419" s="231"/>
      <c r="Q419" s="228"/>
      <c r="R419" s="231"/>
      <c r="S419" s="229"/>
      <c r="T419" s="229"/>
      <c r="U419" s="217"/>
      <c r="V419" s="217"/>
      <c r="W419" s="218"/>
      <c r="X419" s="220"/>
    </row>
    <row r="420" spans="1:24" s="75" customFormat="1" ht="25.65" customHeight="1">
      <c r="A420" s="218"/>
      <c r="B420" s="221"/>
      <c r="C420" s="222"/>
      <c r="D420" s="223"/>
      <c r="E420" s="223"/>
      <c r="F420" s="223"/>
      <c r="G420" s="224"/>
      <c r="H420" s="209"/>
      <c r="I420" s="209"/>
      <c r="J420" s="209"/>
      <c r="K420" s="171"/>
      <c r="L420" s="225"/>
      <c r="M420" s="225"/>
      <c r="N420" s="230"/>
      <c r="O420" s="228"/>
      <c r="P420" s="231"/>
      <c r="Q420" s="228"/>
      <c r="R420" s="231"/>
      <c r="S420" s="229"/>
      <c r="T420" s="229"/>
      <c r="U420" s="217"/>
      <c r="V420" s="217"/>
      <c r="W420" s="218"/>
      <c r="X420" s="220"/>
    </row>
    <row r="421" spans="1:24" s="75" customFormat="1" ht="25.65" customHeight="1">
      <c r="A421" s="218"/>
      <c r="B421" s="221"/>
      <c r="C421" s="222"/>
      <c r="D421" s="223"/>
      <c r="E421" s="223"/>
      <c r="F421" s="223"/>
      <c r="G421" s="224"/>
      <c r="H421" s="209"/>
      <c r="I421" s="209"/>
      <c r="J421" s="209"/>
      <c r="K421" s="171"/>
      <c r="L421" s="225"/>
      <c r="M421" s="225"/>
      <c r="N421" s="230"/>
      <c r="O421" s="228"/>
      <c r="P421" s="231"/>
      <c r="Q421" s="228"/>
      <c r="R421" s="231"/>
      <c r="S421" s="229"/>
      <c r="T421" s="229"/>
      <c r="U421" s="217"/>
      <c r="V421" s="217"/>
      <c r="W421" s="218"/>
      <c r="X421" s="220"/>
    </row>
    <row r="422" spans="1:24" s="75" customFormat="1" ht="25.65" customHeight="1">
      <c r="A422" s="218"/>
      <c r="B422" s="221"/>
      <c r="C422" s="222"/>
      <c r="D422" s="223"/>
      <c r="E422" s="223"/>
      <c r="F422" s="223"/>
      <c r="G422" s="224"/>
      <c r="H422" s="209"/>
      <c r="I422" s="209"/>
      <c r="J422" s="209"/>
      <c r="K422" s="171"/>
      <c r="L422" s="225"/>
      <c r="M422" s="225"/>
      <c r="N422" s="230"/>
      <c r="O422" s="228"/>
      <c r="P422" s="231"/>
      <c r="Q422" s="228"/>
      <c r="R422" s="231"/>
      <c r="S422" s="229"/>
      <c r="T422" s="229"/>
      <c r="U422" s="217"/>
      <c r="V422" s="217"/>
      <c r="W422" s="218"/>
      <c r="X422" s="220"/>
    </row>
    <row r="423" spans="1:24" s="75" customFormat="1" ht="25.65" customHeight="1">
      <c r="A423" s="218"/>
      <c r="B423" s="221"/>
      <c r="C423" s="222"/>
      <c r="D423" s="223"/>
      <c r="E423" s="223"/>
      <c r="F423" s="223"/>
      <c r="G423" s="224"/>
      <c r="H423" s="209"/>
      <c r="I423" s="209"/>
      <c r="J423" s="209"/>
      <c r="K423" s="171"/>
      <c r="L423" s="225"/>
      <c r="M423" s="225"/>
      <c r="N423" s="230"/>
      <c r="O423" s="228"/>
      <c r="P423" s="231"/>
      <c r="Q423" s="228"/>
      <c r="R423" s="231"/>
      <c r="S423" s="229"/>
      <c r="T423" s="229"/>
      <c r="U423" s="217"/>
      <c r="V423" s="217"/>
      <c r="W423" s="218"/>
      <c r="X423" s="220"/>
    </row>
    <row r="424" spans="1:24" s="75" customFormat="1" ht="25.65" customHeight="1">
      <c r="A424" s="218"/>
      <c r="B424" s="221"/>
      <c r="C424" s="222"/>
      <c r="D424" s="223"/>
      <c r="E424" s="223"/>
      <c r="F424" s="223"/>
      <c r="G424" s="224"/>
      <c r="H424" s="209"/>
      <c r="I424" s="209"/>
      <c r="J424" s="209"/>
      <c r="K424" s="171"/>
      <c r="L424" s="225"/>
      <c r="M424" s="225"/>
      <c r="N424" s="230"/>
      <c r="O424" s="228"/>
      <c r="P424" s="231"/>
      <c r="Q424" s="228"/>
      <c r="R424" s="231"/>
      <c r="S424" s="229"/>
      <c r="T424" s="229"/>
      <c r="U424" s="217"/>
      <c r="V424" s="217"/>
      <c r="W424" s="218"/>
      <c r="X424" s="220"/>
    </row>
    <row r="425" spans="1:24" s="75" customFormat="1" ht="25.65" customHeight="1">
      <c r="A425" s="218"/>
      <c r="B425" s="221"/>
      <c r="C425" s="222"/>
      <c r="D425" s="223"/>
      <c r="E425" s="223"/>
      <c r="F425" s="223"/>
      <c r="G425" s="224"/>
      <c r="H425" s="209"/>
      <c r="I425" s="209"/>
      <c r="J425" s="209"/>
      <c r="K425" s="171"/>
      <c r="L425" s="225"/>
      <c r="M425" s="225"/>
      <c r="N425" s="230"/>
      <c r="O425" s="228"/>
      <c r="P425" s="231"/>
      <c r="Q425" s="228"/>
      <c r="R425" s="231"/>
      <c r="S425" s="229"/>
      <c r="T425" s="229"/>
      <c r="U425" s="217"/>
      <c r="V425" s="217"/>
      <c r="W425" s="218"/>
      <c r="X425" s="220"/>
    </row>
    <row r="426" spans="1:24" s="75" customFormat="1" ht="25.65" customHeight="1">
      <c r="A426" s="218"/>
      <c r="B426" s="221"/>
      <c r="C426" s="222"/>
      <c r="D426" s="223"/>
      <c r="E426" s="223"/>
      <c r="F426" s="223"/>
      <c r="G426" s="224"/>
      <c r="H426" s="209"/>
      <c r="I426" s="209"/>
      <c r="J426" s="209"/>
      <c r="K426" s="171"/>
      <c r="L426" s="225"/>
      <c r="M426" s="225"/>
      <c r="N426" s="230"/>
      <c r="O426" s="228"/>
      <c r="P426" s="231"/>
      <c r="Q426" s="228"/>
      <c r="R426" s="231"/>
      <c r="S426" s="229"/>
      <c r="T426" s="229"/>
      <c r="U426" s="217"/>
      <c r="V426" s="217"/>
      <c r="W426" s="218"/>
      <c r="X426" s="220"/>
    </row>
    <row r="427" spans="1:24" s="75" customFormat="1" ht="25.65" customHeight="1">
      <c r="A427" s="218"/>
      <c r="B427" s="221"/>
      <c r="C427" s="222"/>
      <c r="D427" s="223"/>
      <c r="E427" s="223"/>
      <c r="F427" s="223"/>
      <c r="G427" s="224"/>
      <c r="H427" s="209"/>
      <c r="I427" s="209"/>
      <c r="J427" s="209"/>
      <c r="K427" s="171"/>
      <c r="L427" s="225"/>
      <c r="M427" s="225"/>
      <c r="N427" s="230"/>
      <c r="O427" s="228"/>
      <c r="P427" s="231"/>
      <c r="Q427" s="228"/>
      <c r="R427" s="231"/>
      <c r="S427" s="229"/>
      <c r="T427" s="229"/>
      <c r="U427" s="217"/>
      <c r="V427" s="217"/>
      <c r="W427" s="218"/>
      <c r="X427" s="220"/>
    </row>
    <row r="428" spans="1:24" s="75" customFormat="1" ht="25.65" customHeight="1">
      <c r="A428" s="218"/>
      <c r="B428" s="221"/>
      <c r="C428" s="222"/>
      <c r="D428" s="223"/>
      <c r="E428" s="223"/>
      <c r="F428" s="223"/>
      <c r="G428" s="224"/>
      <c r="H428" s="209"/>
      <c r="I428" s="209"/>
      <c r="J428" s="209"/>
      <c r="K428" s="171"/>
      <c r="L428" s="225"/>
      <c r="M428" s="225"/>
      <c r="N428" s="230"/>
      <c r="O428" s="228"/>
      <c r="P428" s="231"/>
      <c r="Q428" s="228"/>
      <c r="R428" s="231"/>
      <c r="S428" s="229"/>
      <c r="T428" s="229"/>
      <c r="U428" s="217"/>
      <c r="V428" s="217"/>
      <c r="W428" s="218"/>
      <c r="X428" s="220"/>
    </row>
    <row r="429" spans="1:24" s="75" customFormat="1" ht="25.65" customHeight="1">
      <c r="A429" s="218"/>
      <c r="B429" s="221"/>
      <c r="C429" s="222"/>
      <c r="D429" s="223"/>
      <c r="E429" s="223"/>
      <c r="F429" s="223"/>
      <c r="G429" s="224"/>
      <c r="H429" s="209"/>
      <c r="I429" s="209"/>
      <c r="J429" s="209"/>
      <c r="K429" s="171"/>
      <c r="L429" s="225"/>
      <c r="M429" s="225"/>
      <c r="N429" s="230"/>
      <c r="O429" s="228"/>
      <c r="P429" s="231"/>
      <c r="Q429" s="228"/>
      <c r="R429" s="231"/>
      <c r="S429" s="229"/>
      <c r="T429" s="229"/>
      <c r="U429" s="217"/>
      <c r="V429" s="217"/>
      <c r="W429" s="218"/>
      <c r="X429" s="220"/>
    </row>
    <row r="430" spans="1:24" s="75" customFormat="1" ht="25.65" customHeight="1">
      <c r="A430" s="218"/>
      <c r="B430" s="221"/>
      <c r="C430" s="222"/>
      <c r="D430" s="223"/>
      <c r="E430" s="223"/>
      <c r="F430" s="223"/>
      <c r="G430" s="224"/>
      <c r="H430" s="209"/>
      <c r="I430" s="209"/>
      <c r="J430" s="209"/>
      <c r="K430" s="171"/>
      <c r="L430" s="225"/>
      <c r="M430" s="225"/>
      <c r="N430" s="230"/>
      <c r="O430" s="228"/>
      <c r="P430" s="231"/>
      <c r="Q430" s="228"/>
      <c r="R430" s="231"/>
      <c r="S430" s="229"/>
      <c r="T430" s="229"/>
      <c r="U430" s="217"/>
      <c r="V430" s="217"/>
      <c r="W430" s="218"/>
      <c r="X430" s="220"/>
    </row>
    <row r="431" spans="1:24" s="75" customFormat="1" ht="25.65" customHeight="1">
      <c r="A431" s="218"/>
      <c r="B431" s="221"/>
      <c r="C431" s="222"/>
      <c r="D431" s="223"/>
      <c r="E431" s="223"/>
      <c r="F431" s="223"/>
      <c r="G431" s="224"/>
      <c r="H431" s="209"/>
      <c r="I431" s="209"/>
      <c r="J431" s="209"/>
      <c r="K431" s="171"/>
      <c r="L431" s="225"/>
      <c r="M431" s="225"/>
      <c r="N431" s="230"/>
      <c r="O431" s="228"/>
      <c r="P431" s="231"/>
      <c r="Q431" s="228"/>
      <c r="R431" s="231"/>
      <c r="S431" s="229"/>
      <c r="T431" s="229"/>
      <c r="U431" s="217"/>
      <c r="V431" s="217"/>
      <c r="W431" s="218"/>
      <c r="X431" s="220"/>
    </row>
    <row r="432" spans="1:24" s="75" customFormat="1" ht="25.65" customHeight="1">
      <c r="A432" s="218"/>
      <c r="B432" s="221"/>
      <c r="C432" s="222"/>
      <c r="D432" s="223"/>
      <c r="E432" s="223"/>
      <c r="F432" s="223"/>
      <c r="G432" s="224"/>
      <c r="H432" s="209"/>
      <c r="I432" s="209"/>
      <c r="J432" s="209"/>
      <c r="K432" s="171"/>
      <c r="L432" s="225"/>
      <c r="M432" s="225"/>
      <c r="N432" s="230"/>
      <c r="O432" s="228"/>
      <c r="P432" s="231"/>
      <c r="Q432" s="228"/>
      <c r="R432" s="231"/>
      <c r="S432" s="229"/>
      <c r="T432" s="229"/>
      <c r="U432" s="217"/>
      <c r="V432" s="217"/>
      <c r="W432" s="218"/>
      <c r="X432" s="220"/>
    </row>
    <row r="433" spans="1:24" s="75" customFormat="1" ht="25.65" customHeight="1">
      <c r="A433" s="218"/>
      <c r="B433" s="221"/>
      <c r="C433" s="222"/>
      <c r="D433" s="223"/>
      <c r="E433" s="223"/>
      <c r="F433" s="223"/>
      <c r="G433" s="224"/>
      <c r="H433" s="209"/>
      <c r="I433" s="209"/>
      <c r="J433" s="209"/>
      <c r="K433" s="171"/>
      <c r="L433" s="225"/>
      <c r="M433" s="225"/>
      <c r="N433" s="230"/>
      <c r="O433" s="228"/>
      <c r="P433" s="231"/>
      <c r="Q433" s="228"/>
      <c r="R433" s="231"/>
      <c r="S433" s="229"/>
      <c r="T433" s="229"/>
      <c r="U433" s="217"/>
      <c r="V433" s="217"/>
      <c r="W433" s="218"/>
      <c r="X433" s="220"/>
    </row>
    <row r="434" spans="1:24" s="75" customFormat="1" ht="25.65" customHeight="1">
      <c r="A434" s="218"/>
      <c r="B434" s="221"/>
      <c r="C434" s="222"/>
      <c r="D434" s="223"/>
      <c r="E434" s="223"/>
      <c r="F434" s="223"/>
      <c r="G434" s="224"/>
      <c r="H434" s="209"/>
      <c r="I434" s="209"/>
      <c r="J434" s="209"/>
      <c r="K434" s="171"/>
      <c r="L434" s="225"/>
      <c r="M434" s="225"/>
      <c r="N434" s="230"/>
      <c r="O434" s="228"/>
      <c r="P434" s="231"/>
      <c r="Q434" s="228"/>
      <c r="R434" s="231"/>
      <c r="S434" s="229"/>
      <c r="T434" s="229"/>
      <c r="U434" s="217"/>
      <c r="V434" s="217"/>
      <c r="W434" s="218"/>
      <c r="X434" s="220"/>
    </row>
    <row r="435" spans="1:24" s="75" customFormat="1" ht="25.65" customHeight="1">
      <c r="A435" s="218"/>
      <c r="B435" s="221"/>
      <c r="C435" s="222"/>
      <c r="D435" s="223"/>
      <c r="E435" s="223"/>
      <c r="F435" s="223"/>
      <c r="G435" s="224"/>
      <c r="H435" s="209"/>
      <c r="I435" s="209"/>
      <c r="J435" s="209"/>
      <c r="K435" s="171"/>
      <c r="L435" s="225"/>
      <c r="M435" s="225"/>
      <c r="N435" s="230"/>
      <c r="O435" s="228"/>
      <c r="P435" s="231"/>
      <c r="Q435" s="228"/>
      <c r="R435" s="231"/>
      <c r="S435" s="229"/>
      <c r="T435" s="229"/>
      <c r="U435" s="217"/>
      <c r="V435" s="217"/>
      <c r="W435" s="218"/>
      <c r="X435" s="220"/>
    </row>
    <row r="436" spans="1:24" s="75" customFormat="1" ht="25.65" customHeight="1">
      <c r="A436" s="218"/>
      <c r="B436" s="221"/>
      <c r="C436" s="222"/>
      <c r="D436" s="223"/>
      <c r="E436" s="223"/>
      <c r="F436" s="223"/>
      <c r="G436" s="224"/>
      <c r="H436" s="209"/>
      <c r="I436" s="209"/>
      <c r="J436" s="209"/>
      <c r="K436" s="171"/>
      <c r="L436" s="225"/>
      <c r="M436" s="225"/>
      <c r="N436" s="230"/>
      <c r="O436" s="228"/>
      <c r="P436" s="231"/>
      <c r="Q436" s="228"/>
      <c r="R436" s="231"/>
      <c r="S436" s="229"/>
      <c r="T436" s="229"/>
      <c r="U436" s="217"/>
      <c r="V436" s="217"/>
      <c r="W436" s="218"/>
      <c r="X436" s="220"/>
    </row>
    <row r="437" spans="1:24" s="75" customFormat="1" ht="25.65" customHeight="1">
      <c r="A437" s="218"/>
      <c r="B437" s="221"/>
      <c r="C437" s="222"/>
      <c r="D437" s="223"/>
      <c r="E437" s="223"/>
      <c r="F437" s="223"/>
      <c r="G437" s="224"/>
      <c r="H437" s="209"/>
      <c r="I437" s="209"/>
      <c r="J437" s="209"/>
      <c r="K437" s="171"/>
      <c r="L437" s="225"/>
      <c r="M437" s="225"/>
      <c r="N437" s="230"/>
      <c r="O437" s="228"/>
      <c r="P437" s="231"/>
      <c r="Q437" s="228"/>
      <c r="R437" s="231"/>
      <c r="S437" s="229"/>
      <c r="T437" s="229"/>
      <c r="U437" s="217"/>
      <c r="V437" s="217"/>
      <c r="W437" s="218"/>
      <c r="X437" s="220"/>
    </row>
    <row r="438" spans="1:24" s="75" customFormat="1" ht="25.65" customHeight="1">
      <c r="A438" s="218"/>
      <c r="B438" s="221"/>
      <c r="C438" s="222"/>
      <c r="D438" s="223"/>
      <c r="E438" s="223"/>
      <c r="F438" s="223"/>
      <c r="G438" s="224"/>
      <c r="H438" s="209"/>
      <c r="I438" s="209"/>
      <c r="J438" s="209"/>
      <c r="K438" s="171"/>
      <c r="L438" s="225"/>
      <c r="M438" s="225"/>
      <c r="N438" s="230"/>
      <c r="O438" s="228"/>
      <c r="P438" s="231"/>
      <c r="Q438" s="228"/>
      <c r="R438" s="231"/>
      <c r="S438" s="229"/>
      <c r="T438" s="229"/>
      <c r="U438" s="217"/>
      <c r="V438" s="217"/>
      <c r="W438" s="218"/>
      <c r="X438" s="220"/>
    </row>
    <row r="439" spans="1:24" s="75" customFormat="1" ht="25.65" customHeight="1">
      <c r="A439" s="218"/>
      <c r="B439" s="221"/>
      <c r="C439" s="222"/>
      <c r="D439" s="223"/>
      <c r="E439" s="223"/>
      <c r="F439" s="223"/>
      <c r="G439" s="224"/>
      <c r="H439" s="209"/>
      <c r="I439" s="209"/>
      <c r="J439" s="209"/>
      <c r="K439" s="171"/>
      <c r="L439" s="225"/>
      <c r="M439" s="225"/>
      <c r="N439" s="230"/>
      <c r="O439" s="228"/>
      <c r="P439" s="231"/>
      <c r="Q439" s="228"/>
      <c r="R439" s="231"/>
      <c r="S439" s="229"/>
      <c r="T439" s="229"/>
      <c r="U439" s="217"/>
      <c r="V439" s="217"/>
      <c r="W439" s="218"/>
      <c r="X439" s="220"/>
    </row>
    <row r="440" spans="1:24" s="75" customFormat="1" ht="25.65" customHeight="1">
      <c r="A440" s="218"/>
      <c r="B440" s="221"/>
      <c r="C440" s="222"/>
      <c r="D440" s="223"/>
      <c r="E440" s="223"/>
      <c r="F440" s="223"/>
      <c r="G440" s="224"/>
      <c r="H440" s="209"/>
      <c r="I440" s="209"/>
      <c r="J440" s="209"/>
      <c r="K440" s="171"/>
      <c r="L440" s="225"/>
      <c r="M440" s="225"/>
      <c r="N440" s="230"/>
      <c r="O440" s="228"/>
      <c r="P440" s="231"/>
      <c r="Q440" s="228"/>
      <c r="R440" s="231"/>
      <c r="S440" s="229"/>
      <c r="T440" s="229"/>
      <c r="U440" s="217"/>
      <c r="V440" s="217"/>
      <c r="W440" s="218"/>
      <c r="X440" s="220"/>
    </row>
    <row r="441" spans="1:24" s="75" customFormat="1" ht="25.65" customHeight="1">
      <c r="A441" s="218"/>
      <c r="B441" s="221"/>
      <c r="C441" s="222"/>
      <c r="D441" s="223"/>
      <c r="E441" s="223"/>
      <c r="F441" s="223"/>
      <c r="G441" s="224"/>
      <c r="H441" s="209"/>
      <c r="I441" s="209"/>
      <c r="J441" s="209"/>
      <c r="K441" s="171"/>
      <c r="L441" s="225"/>
      <c r="M441" s="225"/>
      <c r="N441" s="230"/>
      <c r="O441" s="228"/>
      <c r="P441" s="231"/>
      <c r="Q441" s="228"/>
      <c r="R441" s="231"/>
      <c r="S441" s="229"/>
      <c r="T441" s="229"/>
      <c r="U441" s="217"/>
      <c r="V441" s="217"/>
      <c r="W441" s="218"/>
      <c r="X441" s="220"/>
    </row>
    <row r="442" spans="1:24" s="75" customFormat="1" ht="25.65" customHeight="1">
      <c r="A442" s="218"/>
      <c r="B442" s="221"/>
      <c r="C442" s="222"/>
      <c r="D442" s="223"/>
      <c r="E442" s="223"/>
      <c r="F442" s="223"/>
      <c r="G442" s="224"/>
      <c r="H442" s="209"/>
      <c r="I442" s="209"/>
      <c r="J442" s="209"/>
      <c r="K442" s="171"/>
      <c r="L442" s="225"/>
      <c r="M442" s="225"/>
      <c r="N442" s="230"/>
      <c r="O442" s="228"/>
      <c r="P442" s="231"/>
      <c r="Q442" s="228"/>
      <c r="R442" s="231"/>
      <c r="S442" s="229"/>
      <c r="T442" s="229"/>
      <c r="U442" s="217"/>
      <c r="V442" s="217"/>
      <c r="W442" s="218"/>
      <c r="X442" s="220"/>
    </row>
    <row r="443" spans="1:24" s="75" customFormat="1" ht="25.65" customHeight="1">
      <c r="A443" s="218"/>
      <c r="B443" s="221"/>
      <c r="C443" s="222"/>
      <c r="D443" s="223"/>
      <c r="E443" s="223"/>
      <c r="F443" s="223"/>
      <c r="G443" s="224"/>
      <c r="H443" s="209"/>
      <c r="I443" s="209"/>
      <c r="J443" s="209"/>
      <c r="K443" s="171"/>
      <c r="L443" s="225"/>
      <c r="M443" s="225"/>
      <c r="N443" s="230"/>
      <c r="O443" s="228"/>
      <c r="P443" s="231"/>
      <c r="Q443" s="228"/>
      <c r="R443" s="231"/>
      <c r="S443" s="229"/>
      <c r="T443" s="229"/>
      <c r="U443" s="217"/>
      <c r="V443" s="217"/>
      <c r="W443" s="218"/>
      <c r="X443" s="220"/>
    </row>
    <row r="444" spans="1:24" s="75" customFormat="1" ht="25.65" customHeight="1">
      <c r="A444" s="218"/>
      <c r="B444" s="221"/>
      <c r="C444" s="222"/>
      <c r="D444" s="223"/>
      <c r="E444" s="223"/>
      <c r="F444" s="223"/>
      <c r="G444" s="224"/>
      <c r="H444" s="209"/>
      <c r="I444" s="209"/>
      <c r="J444" s="209"/>
      <c r="K444" s="171"/>
      <c r="L444" s="225"/>
      <c r="M444" s="225"/>
      <c r="N444" s="230"/>
      <c r="O444" s="228"/>
      <c r="P444" s="231"/>
      <c r="Q444" s="228"/>
      <c r="R444" s="231"/>
      <c r="S444" s="229"/>
      <c r="T444" s="229"/>
      <c r="U444" s="217"/>
      <c r="V444" s="217"/>
      <c r="W444" s="218"/>
      <c r="X444" s="220"/>
    </row>
    <row r="445" spans="1:24" s="75" customFormat="1" ht="25.65" customHeight="1">
      <c r="A445" s="218"/>
      <c r="B445" s="221"/>
      <c r="C445" s="222"/>
      <c r="D445" s="223"/>
      <c r="E445" s="223"/>
      <c r="F445" s="223"/>
      <c r="G445" s="224"/>
      <c r="H445" s="209"/>
      <c r="I445" s="209"/>
      <c r="J445" s="209"/>
      <c r="K445" s="171"/>
      <c r="L445" s="225"/>
      <c r="M445" s="225"/>
      <c r="N445" s="230"/>
      <c r="O445" s="228"/>
      <c r="P445" s="231"/>
      <c r="Q445" s="228"/>
      <c r="R445" s="231"/>
      <c r="S445" s="229"/>
      <c r="T445" s="229"/>
      <c r="U445" s="217"/>
      <c r="V445" s="217"/>
      <c r="W445" s="218"/>
      <c r="X445" s="220"/>
    </row>
    <row r="446" spans="1:24" s="75" customFormat="1" ht="25.65" customHeight="1">
      <c r="A446" s="218"/>
      <c r="B446" s="221"/>
      <c r="C446" s="222"/>
      <c r="D446" s="223"/>
      <c r="E446" s="223"/>
      <c r="F446" s="223"/>
      <c r="G446" s="224"/>
      <c r="H446" s="209"/>
      <c r="I446" s="209"/>
      <c r="J446" s="209"/>
      <c r="K446" s="171"/>
      <c r="L446" s="225"/>
      <c r="M446" s="225"/>
      <c r="N446" s="230"/>
      <c r="O446" s="228"/>
      <c r="P446" s="231"/>
      <c r="Q446" s="228"/>
      <c r="R446" s="231"/>
      <c r="S446" s="229"/>
      <c r="T446" s="229"/>
      <c r="U446" s="217"/>
      <c r="V446" s="217"/>
      <c r="W446" s="218"/>
      <c r="X446" s="220"/>
    </row>
    <row r="447" spans="1:24" s="75" customFormat="1" ht="25.65" customHeight="1">
      <c r="A447" s="218"/>
      <c r="B447" s="221"/>
      <c r="C447" s="222"/>
      <c r="D447" s="223"/>
      <c r="E447" s="223"/>
      <c r="F447" s="223"/>
      <c r="G447" s="224"/>
      <c r="H447" s="209"/>
      <c r="I447" s="209"/>
      <c r="J447" s="209"/>
      <c r="K447" s="171"/>
      <c r="L447" s="225"/>
      <c r="M447" s="225"/>
      <c r="N447" s="230"/>
      <c r="O447" s="228"/>
      <c r="P447" s="231"/>
      <c r="Q447" s="228"/>
      <c r="R447" s="231"/>
      <c r="S447" s="229"/>
      <c r="T447" s="229"/>
      <c r="U447" s="217"/>
      <c r="V447" s="217"/>
      <c r="W447" s="218"/>
      <c r="X447" s="220"/>
    </row>
    <row r="448" spans="1:24" s="75" customFormat="1" ht="25.65" customHeight="1">
      <c r="A448" s="218"/>
      <c r="B448" s="221"/>
      <c r="C448" s="222"/>
      <c r="D448" s="223"/>
      <c r="E448" s="223"/>
      <c r="F448" s="223"/>
      <c r="G448" s="224"/>
      <c r="H448" s="209"/>
      <c r="I448" s="209"/>
      <c r="J448" s="209"/>
      <c r="K448" s="171"/>
      <c r="L448" s="225"/>
      <c r="M448" s="225"/>
      <c r="N448" s="230"/>
      <c r="O448" s="228"/>
      <c r="P448" s="231"/>
      <c r="Q448" s="228"/>
      <c r="R448" s="231"/>
      <c r="S448" s="229"/>
      <c r="T448" s="229"/>
      <c r="U448" s="217"/>
      <c r="V448" s="217"/>
      <c r="W448" s="218"/>
      <c r="X448" s="220"/>
    </row>
    <row r="449" spans="1:24" s="75" customFormat="1" ht="25.65" customHeight="1">
      <c r="A449" s="218"/>
      <c r="B449" s="221"/>
      <c r="C449" s="222"/>
      <c r="D449" s="223"/>
      <c r="E449" s="223"/>
      <c r="F449" s="223"/>
      <c r="G449" s="224"/>
      <c r="H449" s="209"/>
      <c r="I449" s="209"/>
      <c r="J449" s="209"/>
      <c r="K449" s="171"/>
      <c r="L449" s="225"/>
      <c r="M449" s="225"/>
      <c r="N449" s="230"/>
      <c r="O449" s="228"/>
      <c r="P449" s="231"/>
      <c r="Q449" s="228"/>
      <c r="R449" s="231"/>
      <c r="S449" s="229"/>
      <c r="T449" s="229"/>
      <c r="U449" s="217"/>
      <c r="V449" s="217"/>
      <c r="W449" s="218"/>
      <c r="X449" s="220"/>
    </row>
    <row r="450" spans="1:24" s="75" customFormat="1" ht="25.65" customHeight="1">
      <c r="A450" s="218"/>
      <c r="B450" s="221"/>
      <c r="C450" s="222"/>
      <c r="D450" s="223"/>
      <c r="E450" s="223"/>
      <c r="F450" s="223"/>
      <c r="G450" s="224"/>
      <c r="H450" s="209"/>
      <c r="I450" s="209"/>
      <c r="J450" s="209"/>
      <c r="K450" s="171"/>
      <c r="L450" s="225"/>
      <c r="M450" s="225"/>
      <c r="N450" s="230"/>
      <c r="O450" s="228"/>
      <c r="P450" s="231"/>
      <c r="Q450" s="228"/>
      <c r="R450" s="231"/>
      <c r="S450" s="229"/>
      <c r="T450" s="229"/>
      <c r="U450" s="217"/>
      <c r="V450" s="217"/>
      <c r="W450" s="218"/>
      <c r="X450" s="220"/>
    </row>
    <row r="451" spans="1:24" s="75" customFormat="1" ht="25.65" customHeight="1">
      <c r="A451" s="218"/>
      <c r="B451" s="221"/>
      <c r="C451" s="222"/>
      <c r="D451" s="223"/>
      <c r="E451" s="223"/>
      <c r="F451" s="223"/>
      <c r="G451" s="224"/>
      <c r="H451" s="209"/>
      <c r="I451" s="209"/>
      <c r="J451" s="209"/>
      <c r="K451" s="171"/>
      <c r="L451" s="225"/>
      <c r="M451" s="225"/>
      <c r="N451" s="230"/>
      <c r="O451" s="228"/>
      <c r="P451" s="231"/>
      <c r="Q451" s="228"/>
      <c r="R451" s="231"/>
      <c r="S451" s="229"/>
      <c r="T451" s="229"/>
      <c r="U451" s="217"/>
      <c r="V451" s="217"/>
      <c r="W451" s="218"/>
      <c r="X451" s="220"/>
    </row>
    <row r="452" spans="1:24" s="75" customFormat="1" ht="25.65" customHeight="1">
      <c r="A452" s="218"/>
      <c r="B452" s="221"/>
      <c r="C452" s="222"/>
      <c r="D452" s="223"/>
      <c r="E452" s="223"/>
      <c r="F452" s="223"/>
      <c r="G452" s="224"/>
      <c r="H452" s="209"/>
      <c r="I452" s="209"/>
      <c r="J452" s="209"/>
      <c r="K452" s="171"/>
      <c r="L452" s="225"/>
      <c r="M452" s="225"/>
      <c r="N452" s="230"/>
      <c r="O452" s="228"/>
      <c r="P452" s="231"/>
      <c r="Q452" s="228"/>
      <c r="R452" s="231"/>
      <c r="S452" s="229"/>
      <c r="T452" s="229"/>
      <c r="U452" s="217"/>
      <c r="V452" s="217"/>
      <c r="W452" s="218"/>
      <c r="X452" s="220"/>
    </row>
    <row r="453" spans="1:24" s="75" customFormat="1" ht="25.65" customHeight="1">
      <c r="A453" s="218"/>
      <c r="B453" s="221"/>
      <c r="C453" s="222"/>
      <c r="D453" s="223"/>
      <c r="E453" s="223"/>
      <c r="F453" s="223"/>
      <c r="G453" s="224"/>
      <c r="H453" s="209"/>
      <c r="I453" s="209"/>
      <c r="J453" s="209"/>
      <c r="K453" s="171"/>
      <c r="L453" s="225"/>
      <c r="M453" s="225"/>
      <c r="N453" s="230"/>
      <c r="O453" s="228"/>
      <c r="P453" s="231"/>
      <c r="Q453" s="228"/>
      <c r="R453" s="231"/>
      <c r="S453" s="229"/>
      <c r="T453" s="229"/>
      <c r="U453" s="217"/>
      <c r="V453" s="217"/>
      <c r="W453" s="218"/>
      <c r="X453" s="220"/>
    </row>
    <row r="454" spans="1:24" s="75" customFormat="1" ht="25.65" customHeight="1">
      <c r="A454" s="218"/>
      <c r="B454" s="221"/>
      <c r="C454" s="222"/>
      <c r="D454" s="223"/>
      <c r="E454" s="223"/>
      <c r="F454" s="223"/>
      <c r="G454" s="224"/>
      <c r="H454" s="209"/>
      <c r="I454" s="209"/>
      <c r="J454" s="209"/>
      <c r="K454" s="171"/>
      <c r="L454" s="225"/>
      <c r="M454" s="225"/>
      <c r="N454" s="230"/>
      <c r="O454" s="228"/>
      <c r="P454" s="231"/>
      <c r="Q454" s="228"/>
      <c r="R454" s="231"/>
      <c r="S454" s="229"/>
      <c r="T454" s="229"/>
      <c r="U454" s="217"/>
      <c r="V454" s="217"/>
      <c r="W454" s="218"/>
      <c r="X454" s="220"/>
    </row>
    <row r="455" spans="1:24" s="75" customFormat="1" ht="25.65" customHeight="1">
      <c r="A455" s="218"/>
      <c r="B455" s="221"/>
      <c r="C455" s="222"/>
      <c r="D455" s="223"/>
      <c r="E455" s="223"/>
      <c r="F455" s="223"/>
      <c r="G455" s="224"/>
      <c r="H455" s="209"/>
      <c r="I455" s="209"/>
      <c r="J455" s="209"/>
      <c r="K455" s="171"/>
      <c r="L455" s="225"/>
      <c r="M455" s="225"/>
      <c r="N455" s="230"/>
      <c r="O455" s="228"/>
      <c r="P455" s="231"/>
      <c r="Q455" s="228"/>
      <c r="R455" s="231"/>
      <c r="S455" s="229"/>
      <c r="T455" s="229"/>
      <c r="U455" s="217"/>
      <c r="V455" s="217"/>
      <c r="W455" s="218"/>
      <c r="X455" s="220"/>
    </row>
    <row r="456" spans="1:24" s="75" customFormat="1" ht="25.65" customHeight="1">
      <c r="A456" s="218"/>
      <c r="B456" s="221"/>
      <c r="C456" s="222"/>
      <c r="D456" s="223"/>
      <c r="E456" s="223"/>
      <c r="F456" s="223"/>
      <c r="G456" s="224"/>
      <c r="H456" s="209"/>
      <c r="I456" s="209"/>
      <c r="J456" s="209"/>
      <c r="K456" s="171"/>
      <c r="L456" s="225"/>
      <c r="M456" s="225"/>
      <c r="N456" s="230"/>
      <c r="O456" s="228"/>
      <c r="P456" s="231"/>
      <c r="Q456" s="228"/>
      <c r="R456" s="231"/>
      <c r="S456" s="229"/>
      <c r="T456" s="229"/>
      <c r="U456" s="217"/>
      <c r="V456" s="217"/>
      <c r="W456" s="218"/>
      <c r="X456" s="220"/>
    </row>
    <row r="457" spans="1:24" s="75" customFormat="1" ht="25.65" customHeight="1">
      <c r="A457" s="218"/>
      <c r="B457" s="221"/>
      <c r="C457" s="222"/>
      <c r="D457" s="223"/>
      <c r="E457" s="223"/>
      <c r="F457" s="223"/>
      <c r="G457" s="224"/>
      <c r="H457" s="209"/>
      <c r="I457" s="209"/>
      <c r="J457" s="209"/>
      <c r="K457" s="171"/>
      <c r="L457" s="225"/>
      <c r="M457" s="225"/>
      <c r="N457" s="230"/>
      <c r="O457" s="228"/>
      <c r="P457" s="231"/>
      <c r="Q457" s="228"/>
      <c r="R457" s="231"/>
      <c r="S457" s="229"/>
      <c r="T457" s="229"/>
      <c r="U457" s="217"/>
      <c r="V457" s="217"/>
      <c r="W457" s="218"/>
      <c r="X457" s="220"/>
    </row>
    <row r="458" spans="1:24" s="75" customFormat="1" ht="25.65" customHeight="1">
      <c r="A458" s="218"/>
      <c r="B458" s="221"/>
      <c r="C458" s="222"/>
      <c r="D458" s="223"/>
      <c r="E458" s="223"/>
      <c r="F458" s="223"/>
      <c r="G458" s="224"/>
      <c r="H458" s="209"/>
      <c r="I458" s="209"/>
      <c r="J458" s="209"/>
      <c r="K458" s="171"/>
      <c r="L458" s="225"/>
      <c r="M458" s="225"/>
      <c r="N458" s="230"/>
      <c r="O458" s="228"/>
      <c r="P458" s="231"/>
      <c r="Q458" s="228"/>
      <c r="R458" s="231"/>
      <c r="S458" s="229"/>
      <c r="T458" s="229"/>
      <c r="U458" s="217"/>
      <c r="V458" s="217"/>
      <c r="W458" s="218"/>
      <c r="X458" s="220"/>
    </row>
    <row r="459" spans="1:24" s="75" customFormat="1" ht="25.65" customHeight="1">
      <c r="A459" s="218"/>
      <c r="B459" s="221"/>
      <c r="C459" s="222"/>
      <c r="D459" s="223"/>
      <c r="E459" s="223"/>
      <c r="F459" s="223"/>
      <c r="G459" s="224"/>
      <c r="H459" s="209"/>
      <c r="I459" s="209"/>
      <c r="J459" s="209"/>
      <c r="K459" s="171"/>
      <c r="L459" s="225"/>
      <c r="M459" s="225"/>
      <c r="N459" s="230"/>
      <c r="O459" s="228"/>
      <c r="P459" s="231"/>
      <c r="Q459" s="228"/>
      <c r="R459" s="231"/>
      <c r="S459" s="229"/>
      <c r="T459" s="229"/>
      <c r="U459" s="217"/>
      <c r="V459" s="217"/>
      <c r="W459" s="218"/>
      <c r="X459" s="220"/>
    </row>
    <row r="460" spans="1:24" s="75" customFormat="1" ht="25.65" customHeight="1">
      <c r="A460" s="218"/>
      <c r="B460" s="221"/>
      <c r="C460" s="222"/>
      <c r="D460" s="223"/>
      <c r="E460" s="223"/>
      <c r="F460" s="223"/>
      <c r="G460" s="224"/>
      <c r="H460" s="209"/>
      <c r="I460" s="209"/>
      <c r="J460" s="209"/>
      <c r="K460" s="171"/>
      <c r="L460" s="225"/>
      <c r="M460" s="225"/>
      <c r="N460" s="230"/>
      <c r="O460" s="228"/>
      <c r="P460" s="231"/>
      <c r="Q460" s="228"/>
      <c r="R460" s="231"/>
      <c r="S460" s="229"/>
      <c r="T460" s="229"/>
      <c r="U460" s="217"/>
      <c r="V460" s="217"/>
      <c r="W460" s="218"/>
      <c r="X460" s="220"/>
    </row>
    <row r="461" spans="1:24" s="75" customFormat="1" ht="25.65" customHeight="1">
      <c r="A461" s="218"/>
      <c r="B461" s="221"/>
      <c r="C461" s="222"/>
      <c r="D461" s="223"/>
      <c r="E461" s="223"/>
      <c r="F461" s="223"/>
      <c r="G461" s="224"/>
      <c r="H461" s="209"/>
      <c r="I461" s="209"/>
      <c r="J461" s="209"/>
      <c r="K461" s="171"/>
      <c r="L461" s="225"/>
      <c r="M461" s="225"/>
      <c r="N461" s="230"/>
      <c r="O461" s="228"/>
      <c r="P461" s="231"/>
      <c r="Q461" s="228"/>
      <c r="R461" s="231"/>
      <c r="S461" s="229"/>
      <c r="T461" s="229"/>
      <c r="U461" s="217"/>
      <c r="V461" s="217"/>
      <c r="W461" s="218"/>
      <c r="X461" s="220"/>
    </row>
    <row r="462" spans="1:24" s="75" customFormat="1" ht="25.65" customHeight="1">
      <c r="A462" s="218"/>
      <c r="B462" s="221"/>
      <c r="C462" s="222"/>
      <c r="D462" s="223"/>
      <c r="E462" s="223"/>
      <c r="F462" s="223"/>
      <c r="G462" s="224"/>
      <c r="H462" s="209"/>
      <c r="I462" s="209"/>
      <c r="J462" s="209"/>
      <c r="K462" s="171"/>
      <c r="L462" s="225"/>
      <c r="M462" s="225"/>
      <c r="N462" s="230"/>
      <c r="O462" s="228"/>
      <c r="P462" s="231"/>
      <c r="Q462" s="228"/>
      <c r="R462" s="231"/>
      <c r="S462" s="229"/>
      <c r="T462" s="229"/>
      <c r="U462" s="217"/>
      <c r="V462" s="217"/>
      <c r="W462" s="218"/>
      <c r="X462" s="220"/>
    </row>
    <row r="463" spans="1:24" s="75" customFormat="1" ht="25.65" customHeight="1">
      <c r="A463" s="218"/>
      <c r="B463" s="221"/>
      <c r="C463" s="222"/>
      <c r="D463" s="223"/>
      <c r="E463" s="223"/>
      <c r="F463" s="223"/>
      <c r="G463" s="224"/>
      <c r="H463" s="209"/>
      <c r="I463" s="209"/>
      <c r="J463" s="209"/>
      <c r="K463" s="171"/>
      <c r="L463" s="225"/>
      <c r="M463" s="225"/>
      <c r="N463" s="230"/>
      <c r="O463" s="228"/>
      <c r="P463" s="231"/>
      <c r="Q463" s="228"/>
      <c r="R463" s="231"/>
      <c r="S463" s="229"/>
      <c r="T463" s="229"/>
      <c r="U463" s="217"/>
      <c r="V463" s="217"/>
      <c r="W463" s="218"/>
      <c r="X463" s="220"/>
    </row>
    <row r="464" spans="1:24" s="75" customFormat="1" ht="25.65" customHeight="1">
      <c r="A464" s="218"/>
      <c r="B464" s="221"/>
      <c r="C464" s="222"/>
      <c r="D464" s="223"/>
      <c r="E464" s="223"/>
      <c r="F464" s="223"/>
      <c r="G464" s="224"/>
      <c r="H464" s="209"/>
      <c r="I464" s="209"/>
      <c r="J464" s="209"/>
      <c r="K464" s="171"/>
      <c r="L464" s="225"/>
      <c r="M464" s="225"/>
      <c r="N464" s="230"/>
      <c r="O464" s="228"/>
      <c r="P464" s="231"/>
      <c r="Q464" s="228"/>
      <c r="R464" s="231"/>
      <c r="S464" s="229"/>
      <c r="T464" s="229"/>
      <c r="U464" s="217"/>
      <c r="V464" s="217"/>
      <c r="W464" s="218"/>
      <c r="X464" s="220"/>
    </row>
    <row r="465" spans="1:24" s="75" customFormat="1" ht="25.65" customHeight="1">
      <c r="A465" s="218"/>
      <c r="B465" s="221"/>
      <c r="C465" s="222"/>
      <c r="D465" s="223"/>
      <c r="E465" s="223"/>
      <c r="F465" s="223"/>
      <c r="G465" s="224"/>
      <c r="H465" s="209"/>
      <c r="I465" s="209"/>
      <c r="J465" s="209"/>
      <c r="K465" s="171"/>
      <c r="L465" s="225"/>
      <c r="M465" s="225"/>
      <c r="N465" s="230"/>
      <c r="O465" s="228"/>
      <c r="P465" s="231"/>
      <c r="Q465" s="228"/>
      <c r="R465" s="231"/>
      <c r="S465" s="229"/>
      <c r="T465" s="229"/>
      <c r="U465" s="217"/>
      <c r="V465" s="217"/>
      <c r="W465" s="218"/>
      <c r="X465" s="220"/>
    </row>
    <row r="466" spans="1:24" s="75" customFormat="1" ht="25.65" customHeight="1">
      <c r="A466" s="218"/>
      <c r="B466" s="221"/>
      <c r="C466" s="222"/>
      <c r="D466" s="223"/>
      <c r="E466" s="223"/>
      <c r="F466" s="223"/>
      <c r="G466" s="224"/>
      <c r="H466" s="209"/>
      <c r="I466" s="209"/>
      <c r="J466" s="209"/>
      <c r="K466" s="171"/>
      <c r="L466" s="225"/>
      <c r="M466" s="225"/>
      <c r="N466" s="230"/>
      <c r="O466" s="228"/>
      <c r="P466" s="231"/>
      <c r="Q466" s="228"/>
      <c r="R466" s="231"/>
      <c r="S466" s="229"/>
      <c r="T466" s="229"/>
      <c r="U466" s="217"/>
      <c r="V466" s="217"/>
      <c r="W466" s="218"/>
      <c r="X466" s="220"/>
    </row>
    <row r="467" spans="1:24" s="75" customFormat="1" ht="25.65" customHeight="1">
      <c r="A467" s="218"/>
      <c r="B467" s="221"/>
      <c r="C467" s="222"/>
      <c r="D467" s="223"/>
      <c r="E467" s="223"/>
      <c r="F467" s="223"/>
      <c r="G467" s="224"/>
      <c r="H467" s="209"/>
      <c r="I467" s="209"/>
      <c r="J467" s="209"/>
      <c r="K467" s="171"/>
      <c r="L467" s="225"/>
      <c r="M467" s="225"/>
      <c r="N467" s="230"/>
      <c r="O467" s="228"/>
      <c r="P467" s="231"/>
      <c r="Q467" s="228"/>
      <c r="R467" s="231"/>
      <c r="S467" s="229"/>
      <c r="T467" s="229"/>
      <c r="U467" s="217"/>
      <c r="V467" s="217"/>
      <c r="W467" s="218"/>
      <c r="X467" s="220"/>
    </row>
    <row r="468" spans="1:24" s="75" customFormat="1" ht="25.65" customHeight="1">
      <c r="A468" s="218"/>
      <c r="B468" s="221"/>
      <c r="C468" s="222"/>
      <c r="D468" s="223"/>
      <c r="E468" s="223"/>
      <c r="F468" s="223"/>
      <c r="G468" s="224"/>
      <c r="H468" s="209"/>
      <c r="I468" s="209"/>
      <c r="J468" s="209"/>
      <c r="K468" s="171"/>
      <c r="L468" s="225"/>
      <c r="M468" s="225"/>
      <c r="N468" s="230"/>
      <c r="O468" s="228"/>
      <c r="P468" s="231"/>
      <c r="Q468" s="228"/>
      <c r="R468" s="231"/>
      <c r="S468" s="229"/>
      <c r="T468" s="229"/>
      <c r="U468" s="217"/>
      <c r="V468" s="217"/>
      <c r="W468" s="218"/>
      <c r="X468" s="220"/>
    </row>
    <row r="469" spans="1:24" s="75" customFormat="1" ht="25.65" customHeight="1">
      <c r="A469" s="218"/>
      <c r="B469" s="221"/>
      <c r="C469" s="222"/>
      <c r="D469" s="223"/>
      <c r="E469" s="223"/>
      <c r="F469" s="223"/>
      <c r="G469" s="224"/>
      <c r="H469" s="209"/>
      <c r="I469" s="209"/>
      <c r="J469" s="209"/>
      <c r="K469" s="171"/>
      <c r="L469" s="225"/>
      <c r="M469" s="225"/>
      <c r="N469" s="230"/>
      <c r="O469" s="228"/>
      <c r="P469" s="231"/>
      <c r="Q469" s="228"/>
      <c r="R469" s="231"/>
      <c r="S469" s="229"/>
      <c r="T469" s="229"/>
      <c r="U469" s="217"/>
      <c r="V469" s="217"/>
      <c r="W469" s="218"/>
      <c r="X469" s="220"/>
    </row>
    <row r="470" spans="1:24" s="75" customFormat="1" ht="25.65" customHeight="1">
      <c r="A470" s="218"/>
      <c r="B470" s="221"/>
      <c r="C470" s="222"/>
      <c r="D470" s="223"/>
      <c r="E470" s="223"/>
      <c r="F470" s="223"/>
      <c r="G470" s="224"/>
      <c r="H470" s="209"/>
      <c r="I470" s="209"/>
      <c r="J470" s="209"/>
      <c r="K470" s="171"/>
      <c r="L470" s="225"/>
      <c r="M470" s="225"/>
      <c r="N470" s="230"/>
      <c r="O470" s="228"/>
      <c r="P470" s="231"/>
      <c r="Q470" s="228"/>
      <c r="R470" s="231"/>
      <c r="S470" s="229"/>
      <c r="T470" s="229"/>
      <c r="U470" s="217"/>
      <c r="V470" s="217"/>
      <c r="W470" s="218"/>
      <c r="X470" s="220"/>
    </row>
    <row r="471" spans="1:24" s="75" customFormat="1" ht="25.65" customHeight="1">
      <c r="A471" s="218"/>
      <c r="B471" s="221"/>
      <c r="C471" s="222"/>
      <c r="D471" s="223"/>
      <c r="E471" s="223"/>
      <c r="F471" s="223"/>
      <c r="G471" s="224"/>
      <c r="H471" s="209"/>
      <c r="I471" s="209"/>
      <c r="J471" s="209"/>
      <c r="K471" s="171"/>
      <c r="L471" s="225"/>
      <c r="M471" s="225"/>
      <c r="N471" s="230"/>
      <c r="O471" s="228"/>
      <c r="P471" s="231"/>
      <c r="Q471" s="228"/>
      <c r="R471" s="231"/>
      <c r="S471" s="229"/>
      <c r="T471" s="229"/>
      <c r="U471" s="217"/>
      <c r="V471" s="217"/>
      <c r="W471" s="218"/>
      <c r="X471" s="220"/>
    </row>
    <row r="472" spans="1:24" s="75" customFormat="1" ht="25.65" customHeight="1">
      <c r="A472" s="218"/>
      <c r="B472" s="221"/>
      <c r="C472" s="222"/>
      <c r="D472" s="223"/>
      <c r="E472" s="223"/>
      <c r="F472" s="223"/>
      <c r="G472" s="224"/>
      <c r="H472" s="209"/>
      <c r="I472" s="209"/>
      <c r="J472" s="209"/>
      <c r="K472" s="171"/>
      <c r="L472" s="225"/>
      <c r="M472" s="225"/>
      <c r="N472" s="230"/>
      <c r="O472" s="228"/>
      <c r="P472" s="231"/>
      <c r="Q472" s="228"/>
      <c r="R472" s="231"/>
      <c r="S472" s="229"/>
      <c r="T472" s="229"/>
      <c r="U472" s="217"/>
      <c r="V472" s="217"/>
      <c r="W472" s="218"/>
      <c r="X472" s="220"/>
    </row>
    <row r="473" spans="1:24" s="75" customFormat="1" ht="25.65" customHeight="1">
      <c r="A473" s="218"/>
      <c r="B473" s="221"/>
      <c r="C473" s="222"/>
      <c r="D473" s="223"/>
      <c r="E473" s="223"/>
      <c r="F473" s="223"/>
      <c r="G473" s="224"/>
      <c r="H473" s="209"/>
      <c r="I473" s="209"/>
      <c r="J473" s="209"/>
      <c r="K473" s="171"/>
      <c r="L473" s="225"/>
      <c r="M473" s="225"/>
      <c r="N473" s="230"/>
      <c r="O473" s="228"/>
      <c r="P473" s="231"/>
      <c r="Q473" s="228"/>
      <c r="R473" s="231"/>
      <c r="S473" s="229"/>
      <c r="T473" s="229"/>
      <c r="U473" s="217"/>
      <c r="V473" s="217"/>
      <c r="W473" s="218"/>
      <c r="X473" s="220"/>
    </row>
    <row r="474" spans="1:24" s="75" customFormat="1" ht="25.65" customHeight="1">
      <c r="A474" s="218"/>
      <c r="B474" s="221"/>
      <c r="C474" s="222"/>
      <c r="D474" s="223"/>
      <c r="E474" s="223"/>
      <c r="F474" s="223"/>
      <c r="G474" s="224"/>
      <c r="H474" s="209"/>
      <c r="I474" s="209"/>
      <c r="J474" s="209"/>
      <c r="K474" s="171"/>
      <c r="L474" s="225"/>
      <c r="M474" s="225"/>
      <c r="N474" s="230"/>
      <c r="O474" s="228"/>
      <c r="P474" s="231"/>
      <c r="Q474" s="228"/>
      <c r="R474" s="231"/>
      <c r="S474" s="229"/>
      <c r="T474" s="229"/>
      <c r="U474" s="217"/>
      <c r="V474" s="217"/>
      <c r="W474" s="218"/>
      <c r="X474" s="220"/>
    </row>
    <row r="475" spans="1:24" s="75" customFormat="1" ht="25.65" customHeight="1">
      <c r="A475" s="218"/>
      <c r="B475" s="221"/>
      <c r="C475" s="222"/>
      <c r="D475" s="223"/>
      <c r="E475" s="223"/>
      <c r="F475" s="223"/>
      <c r="G475" s="224"/>
      <c r="H475" s="209"/>
      <c r="I475" s="209"/>
      <c r="J475" s="209"/>
      <c r="K475" s="171"/>
      <c r="L475" s="225"/>
      <c r="M475" s="225"/>
      <c r="N475" s="230"/>
      <c r="O475" s="228"/>
      <c r="P475" s="231"/>
      <c r="Q475" s="228"/>
      <c r="R475" s="231"/>
      <c r="S475" s="229"/>
      <c r="T475" s="229"/>
      <c r="U475" s="217"/>
      <c r="V475" s="217"/>
      <c r="W475" s="218"/>
      <c r="X475" s="220"/>
    </row>
    <row r="476" spans="1:24" s="75" customFormat="1" ht="25.65" customHeight="1">
      <c r="A476" s="218"/>
      <c r="B476" s="221"/>
      <c r="C476" s="222"/>
      <c r="D476" s="223"/>
      <c r="E476" s="223"/>
      <c r="F476" s="223"/>
      <c r="G476" s="224"/>
      <c r="H476" s="209"/>
      <c r="I476" s="209"/>
      <c r="J476" s="209"/>
      <c r="K476" s="171"/>
      <c r="L476" s="225"/>
      <c r="M476" s="225"/>
      <c r="N476" s="230"/>
      <c r="O476" s="228"/>
      <c r="P476" s="231"/>
      <c r="Q476" s="228"/>
      <c r="R476" s="231"/>
      <c r="S476" s="229"/>
      <c r="T476" s="229"/>
      <c r="U476" s="217"/>
      <c r="V476" s="217"/>
      <c r="W476" s="218"/>
      <c r="X476" s="220"/>
    </row>
    <row r="477" spans="1:24" s="75" customFormat="1" ht="25.65" customHeight="1">
      <c r="A477" s="218"/>
      <c r="B477" s="221"/>
      <c r="C477" s="222"/>
      <c r="D477" s="223"/>
      <c r="E477" s="223"/>
      <c r="F477" s="223"/>
      <c r="G477" s="224"/>
      <c r="H477" s="209"/>
      <c r="I477" s="209"/>
      <c r="J477" s="209"/>
      <c r="K477" s="171"/>
      <c r="L477" s="225"/>
      <c r="M477" s="225"/>
      <c r="N477" s="230"/>
      <c r="O477" s="228"/>
      <c r="P477" s="231"/>
      <c r="Q477" s="228"/>
      <c r="R477" s="231"/>
      <c r="S477" s="229"/>
      <c r="T477" s="229"/>
      <c r="U477" s="217"/>
      <c r="V477" s="217"/>
      <c r="W477" s="218"/>
      <c r="X477" s="220"/>
    </row>
    <row r="478" spans="1:24" s="75" customFormat="1" ht="25.65" customHeight="1">
      <c r="A478" s="218"/>
      <c r="B478" s="221"/>
      <c r="C478" s="222"/>
      <c r="D478" s="223"/>
      <c r="E478" s="223"/>
      <c r="F478" s="223"/>
      <c r="G478" s="224"/>
      <c r="H478" s="209"/>
      <c r="I478" s="209"/>
      <c r="J478" s="209"/>
      <c r="K478" s="171"/>
      <c r="L478" s="225"/>
      <c r="M478" s="225"/>
      <c r="N478" s="230"/>
      <c r="O478" s="228"/>
      <c r="P478" s="231"/>
      <c r="Q478" s="228"/>
      <c r="R478" s="231"/>
      <c r="S478" s="229"/>
      <c r="T478" s="229"/>
      <c r="U478" s="217"/>
      <c r="V478" s="217"/>
      <c r="W478" s="218"/>
      <c r="X478" s="220"/>
    </row>
    <row r="479" spans="1:24" s="75" customFormat="1" ht="25.65" customHeight="1">
      <c r="A479" s="218"/>
      <c r="B479" s="221"/>
      <c r="C479" s="222"/>
      <c r="D479" s="223"/>
      <c r="E479" s="223"/>
      <c r="F479" s="223"/>
      <c r="G479" s="224"/>
      <c r="H479" s="209"/>
      <c r="I479" s="209"/>
      <c r="J479" s="209"/>
      <c r="K479" s="171"/>
      <c r="L479" s="225"/>
      <c r="M479" s="225"/>
      <c r="N479" s="230"/>
      <c r="O479" s="228"/>
      <c r="P479" s="231"/>
      <c r="Q479" s="228"/>
      <c r="R479" s="231"/>
      <c r="S479" s="229"/>
      <c r="T479" s="229"/>
      <c r="U479" s="217"/>
      <c r="V479" s="217"/>
      <c r="W479" s="218"/>
      <c r="X479" s="220"/>
    </row>
    <row r="480" spans="1:24" s="75" customFormat="1" ht="25.65" customHeight="1">
      <c r="A480" s="218"/>
      <c r="B480" s="221"/>
      <c r="C480" s="222"/>
      <c r="D480" s="223"/>
      <c r="E480" s="223"/>
      <c r="F480" s="223"/>
      <c r="G480" s="224"/>
      <c r="H480" s="209"/>
      <c r="I480" s="209"/>
      <c r="J480" s="209"/>
      <c r="K480" s="171"/>
      <c r="L480" s="225"/>
      <c r="M480" s="225"/>
      <c r="N480" s="230"/>
      <c r="O480" s="228"/>
      <c r="P480" s="231"/>
      <c r="Q480" s="228"/>
      <c r="R480" s="231"/>
      <c r="S480" s="229"/>
      <c r="T480" s="229"/>
      <c r="U480" s="217"/>
      <c r="V480" s="217"/>
      <c r="W480" s="218"/>
      <c r="X480" s="220"/>
    </row>
    <row r="481" spans="1:24" s="75" customFormat="1" ht="25.65" customHeight="1">
      <c r="A481" s="218"/>
      <c r="B481" s="221"/>
      <c r="C481" s="222"/>
      <c r="D481" s="223"/>
      <c r="E481" s="223"/>
      <c r="F481" s="223"/>
      <c r="G481" s="224"/>
      <c r="H481" s="209"/>
      <c r="I481" s="209"/>
      <c r="J481" s="209"/>
      <c r="K481" s="171"/>
      <c r="L481" s="225"/>
      <c r="M481" s="225"/>
      <c r="N481" s="230"/>
      <c r="O481" s="228"/>
      <c r="P481" s="231"/>
      <c r="Q481" s="228"/>
      <c r="R481" s="231"/>
      <c r="S481" s="229"/>
      <c r="T481" s="229"/>
      <c r="U481" s="217"/>
      <c r="V481" s="217"/>
      <c r="W481" s="218"/>
      <c r="X481" s="220"/>
    </row>
    <row r="482" spans="1:24" s="75" customFormat="1" ht="25.65" customHeight="1">
      <c r="A482" s="218"/>
      <c r="B482" s="221"/>
      <c r="C482" s="222"/>
      <c r="D482" s="223"/>
      <c r="E482" s="223"/>
      <c r="F482" s="223"/>
      <c r="G482" s="224"/>
      <c r="H482" s="209"/>
      <c r="I482" s="209"/>
      <c r="J482" s="209"/>
      <c r="K482" s="171"/>
      <c r="L482" s="225"/>
      <c r="M482" s="225"/>
      <c r="N482" s="230"/>
      <c r="O482" s="228"/>
      <c r="P482" s="231"/>
      <c r="Q482" s="228"/>
      <c r="R482" s="231"/>
      <c r="S482" s="229"/>
      <c r="T482" s="229"/>
      <c r="U482" s="217"/>
      <c r="V482" s="217"/>
      <c r="W482" s="218"/>
      <c r="X482" s="220"/>
    </row>
    <row r="483" spans="1:24" s="75" customFormat="1" ht="25.65" customHeight="1">
      <c r="A483" s="218"/>
      <c r="B483" s="221"/>
      <c r="C483" s="222"/>
      <c r="D483" s="223"/>
      <c r="E483" s="223"/>
      <c r="F483" s="223"/>
      <c r="G483" s="224"/>
      <c r="H483" s="209"/>
      <c r="I483" s="209"/>
      <c r="J483" s="209"/>
      <c r="K483" s="171"/>
      <c r="L483" s="225"/>
      <c r="M483" s="225"/>
      <c r="N483" s="230"/>
      <c r="O483" s="228"/>
      <c r="P483" s="231"/>
      <c r="Q483" s="228"/>
      <c r="R483" s="231"/>
      <c r="S483" s="229"/>
      <c r="T483" s="229"/>
      <c r="U483" s="217"/>
      <c r="V483" s="217"/>
      <c r="W483" s="218"/>
      <c r="X483" s="220"/>
    </row>
    <row r="484" spans="1:24" s="75" customFormat="1" ht="25.65" customHeight="1">
      <c r="A484" s="218"/>
      <c r="B484" s="221"/>
      <c r="C484" s="222"/>
      <c r="D484" s="223"/>
      <c r="E484" s="223"/>
      <c r="F484" s="223"/>
      <c r="G484" s="224"/>
      <c r="H484" s="209"/>
      <c r="I484" s="209"/>
      <c r="J484" s="209"/>
      <c r="K484" s="171"/>
      <c r="L484" s="225"/>
      <c r="M484" s="225"/>
      <c r="N484" s="230"/>
      <c r="O484" s="228"/>
      <c r="P484" s="231"/>
      <c r="Q484" s="228"/>
      <c r="R484" s="231"/>
      <c r="S484" s="229"/>
      <c r="T484" s="229"/>
      <c r="U484" s="217"/>
      <c r="V484" s="217"/>
      <c r="W484" s="218"/>
      <c r="X484" s="220"/>
    </row>
    <row r="485" spans="1:24" s="75" customFormat="1" ht="25.65" customHeight="1">
      <c r="A485" s="218"/>
      <c r="B485" s="221"/>
      <c r="C485" s="222"/>
      <c r="D485" s="223"/>
      <c r="E485" s="223"/>
      <c r="F485" s="223"/>
      <c r="G485" s="224"/>
      <c r="H485" s="209"/>
      <c r="I485" s="209"/>
      <c r="J485" s="209"/>
      <c r="K485" s="171"/>
      <c r="L485" s="225"/>
      <c r="M485" s="225"/>
      <c r="N485" s="230"/>
      <c r="O485" s="228"/>
      <c r="P485" s="231"/>
      <c r="Q485" s="228"/>
      <c r="R485" s="231"/>
      <c r="S485" s="229"/>
      <c r="T485" s="229"/>
      <c r="U485" s="217"/>
      <c r="V485" s="217"/>
      <c r="W485" s="218"/>
      <c r="X485" s="220"/>
    </row>
    <row r="486" spans="1:24" s="75" customFormat="1" ht="25.65" customHeight="1">
      <c r="A486" s="218"/>
      <c r="B486" s="221"/>
      <c r="C486" s="222"/>
      <c r="D486" s="223"/>
      <c r="E486" s="223"/>
      <c r="F486" s="223"/>
      <c r="G486" s="224"/>
      <c r="H486" s="209"/>
      <c r="I486" s="209"/>
      <c r="J486" s="209"/>
      <c r="K486" s="171"/>
      <c r="L486" s="225"/>
      <c r="M486" s="225"/>
      <c r="N486" s="230"/>
      <c r="O486" s="228"/>
      <c r="P486" s="231"/>
      <c r="Q486" s="228"/>
      <c r="R486" s="231"/>
      <c r="S486" s="229"/>
      <c r="T486" s="229"/>
      <c r="U486" s="217"/>
      <c r="V486" s="217"/>
      <c r="W486" s="218"/>
      <c r="X486" s="220"/>
    </row>
    <row r="487" spans="1:24" s="75" customFormat="1" ht="25.65" customHeight="1">
      <c r="A487" s="218"/>
      <c r="B487" s="221"/>
      <c r="C487" s="222"/>
      <c r="D487" s="223"/>
      <c r="E487" s="223"/>
      <c r="F487" s="223"/>
      <c r="G487" s="224"/>
      <c r="H487" s="209"/>
      <c r="I487" s="209"/>
      <c r="J487" s="209"/>
      <c r="K487" s="171"/>
      <c r="L487" s="225"/>
      <c r="M487" s="225"/>
      <c r="N487" s="230"/>
      <c r="O487" s="228"/>
      <c r="P487" s="231"/>
      <c r="Q487" s="228"/>
      <c r="R487" s="231"/>
      <c r="S487" s="229"/>
      <c r="T487" s="229"/>
      <c r="U487" s="217"/>
      <c r="V487" s="217"/>
      <c r="W487" s="218"/>
      <c r="X487" s="220"/>
    </row>
    <row r="488" spans="1:24" s="75" customFormat="1" ht="25.65" customHeight="1">
      <c r="A488" s="218"/>
      <c r="B488" s="221"/>
      <c r="C488" s="222"/>
      <c r="D488" s="223"/>
      <c r="E488" s="223"/>
      <c r="F488" s="223"/>
      <c r="G488" s="224"/>
      <c r="H488" s="209"/>
      <c r="I488" s="209"/>
      <c r="J488" s="209"/>
      <c r="K488" s="171"/>
      <c r="L488" s="225"/>
      <c r="M488" s="225"/>
      <c r="N488" s="230"/>
      <c r="O488" s="228"/>
      <c r="P488" s="231"/>
      <c r="Q488" s="228"/>
      <c r="R488" s="231"/>
      <c r="S488" s="229"/>
      <c r="T488" s="229"/>
      <c r="U488" s="217"/>
      <c r="V488" s="217"/>
      <c r="W488" s="218"/>
      <c r="X488" s="220"/>
    </row>
    <row r="489" spans="1:24" s="75" customFormat="1" ht="25.65" customHeight="1">
      <c r="A489" s="218"/>
      <c r="B489" s="221"/>
      <c r="C489" s="222"/>
      <c r="D489" s="223"/>
      <c r="E489" s="223"/>
      <c r="F489" s="223"/>
      <c r="G489" s="224"/>
      <c r="H489" s="209"/>
      <c r="I489" s="209"/>
      <c r="J489" s="209"/>
      <c r="K489" s="171"/>
      <c r="L489" s="225"/>
      <c r="M489" s="225"/>
      <c r="N489" s="230"/>
      <c r="O489" s="228"/>
      <c r="P489" s="231"/>
      <c r="Q489" s="228"/>
      <c r="R489" s="231"/>
      <c r="S489" s="229"/>
      <c r="T489" s="229"/>
      <c r="U489" s="217"/>
      <c r="V489" s="217"/>
      <c r="W489" s="218"/>
      <c r="X489" s="220"/>
    </row>
    <row r="490" spans="1:24" s="75" customFormat="1" ht="25.65" customHeight="1">
      <c r="A490" s="218"/>
      <c r="B490" s="221"/>
      <c r="C490" s="222"/>
      <c r="D490" s="223"/>
      <c r="E490" s="223"/>
      <c r="F490" s="223"/>
      <c r="G490" s="224"/>
      <c r="H490" s="209"/>
      <c r="I490" s="209"/>
      <c r="J490" s="209"/>
      <c r="K490" s="171"/>
      <c r="L490" s="225"/>
      <c r="M490" s="225"/>
      <c r="N490" s="230"/>
      <c r="O490" s="228"/>
      <c r="P490" s="231"/>
      <c r="Q490" s="228"/>
      <c r="R490" s="231"/>
      <c r="S490" s="229"/>
      <c r="T490" s="229"/>
      <c r="U490" s="217"/>
      <c r="V490" s="217"/>
      <c r="W490" s="218"/>
      <c r="X490" s="220"/>
    </row>
    <row r="491" spans="1:24" s="75" customFormat="1" ht="25.65" customHeight="1">
      <c r="A491" s="218"/>
      <c r="B491" s="221"/>
      <c r="C491" s="222"/>
      <c r="D491" s="223"/>
      <c r="E491" s="223"/>
      <c r="F491" s="223"/>
      <c r="G491" s="224"/>
      <c r="H491" s="209"/>
      <c r="I491" s="209"/>
      <c r="J491" s="209"/>
      <c r="K491" s="171"/>
      <c r="L491" s="225"/>
      <c r="M491" s="225"/>
      <c r="N491" s="230"/>
      <c r="O491" s="228"/>
      <c r="P491" s="231"/>
      <c r="Q491" s="228"/>
      <c r="R491" s="231"/>
      <c r="S491" s="229"/>
      <c r="T491" s="229"/>
      <c r="U491" s="217"/>
      <c r="V491" s="217"/>
      <c r="W491" s="218"/>
      <c r="X491" s="220"/>
    </row>
    <row r="492" spans="1:24" s="75" customFormat="1" ht="25.65" customHeight="1">
      <c r="A492" s="218"/>
      <c r="B492" s="221"/>
      <c r="C492" s="222"/>
      <c r="D492" s="223"/>
      <c r="E492" s="223"/>
      <c r="F492" s="223"/>
      <c r="G492" s="224"/>
      <c r="H492" s="209"/>
      <c r="I492" s="209"/>
      <c r="J492" s="209"/>
      <c r="K492" s="171"/>
      <c r="L492" s="225"/>
      <c r="M492" s="225"/>
      <c r="N492" s="230"/>
      <c r="O492" s="228"/>
      <c r="P492" s="231"/>
      <c r="Q492" s="228"/>
      <c r="R492" s="231"/>
      <c r="S492" s="229"/>
      <c r="T492" s="229"/>
      <c r="U492" s="217"/>
      <c r="V492" s="217"/>
      <c r="W492" s="218"/>
      <c r="X492" s="220"/>
    </row>
    <row r="493" spans="1:24" s="75" customFormat="1" ht="25.65" customHeight="1">
      <c r="A493" s="218"/>
      <c r="B493" s="221"/>
      <c r="C493" s="222"/>
      <c r="D493" s="223"/>
      <c r="E493" s="223"/>
      <c r="F493" s="223"/>
      <c r="G493" s="224"/>
      <c r="H493" s="209"/>
      <c r="I493" s="209"/>
      <c r="J493" s="209"/>
      <c r="K493" s="171"/>
      <c r="L493" s="225"/>
      <c r="M493" s="225"/>
      <c r="N493" s="230"/>
      <c r="O493" s="228"/>
      <c r="P493" s="231"/>
      <c r="Q493" s="228"/>
      <c r="R493" s="231"/>
      <c r="S493" s="229"/>
      <c r="T493" s="229"/>
      <c r="U493" s="217"/>
      <c r="V493" s="217"/>
      <c r="W493" s="218"/>
      <c r="X493" s="220"/>
    </row>
    <row r="494" spans="1:24" s="75" customFormat="1" ht="25.65" customHeight="1">
      <c r="A494" s="218"/>
      <c r="B494" s="221"/>
      <c r="C494" s="222"/>
      <c r="D494" s="223"/>
      <c r="E494" s="223"/>
      <c r="F494" s="223"/>
      <c r="G494" s="224"/>
      <c r="H494" s="209"/>
      <c r="I494" s="209"/>
      <c r="J494" s="209"/>
      <c r="K494" s="171"/>
      <c r="L494" s="225"/>
      <c r="M494" s="225"/>
      <c r="N494" s="230"/>
      <c r="O494" s="228"/>
      <c r="P494" s="231"/>
      <c r="Q494" s="228"/>
      <c r="R494" s="231"/>
      <c r="S494" s="229"/>
      <c r="T494" s="229"/>
      <c r="U494" s="217"/>
      <c r="V494" s="217"/>
      <c r="W494" s="218"/>
      <c r="X494" s="220"/>
    </row>
    <row r="495" spans="1:24" s="75" customFormat="1" ht="25.65" customHeight="1">
      <c r="A495" s="218"/>
      <c r="B495" s="221"/>
      <c r="C495" s="222"/>
      <c r="D495" s="223"/>
      <c r="E495" s="223"/>
      <c r="F495" s="223"/>
      <c r="G495" s="224"/>
      <c r="H495" s="209"/>
      <c r="I495" s="209"/>
      <c r="J495" s="209"/>
      <c r="K495" s="171"/>
      <c r="L495" s="225"/>
      <c r="M495" s="225"/>
      <c r="N495" s="230"/>
      <c r="O495" s="228"/>
      <c r="P495" s="231"/>
      <c r="Q495" s="228"/>
      <c r="R495" s="231"/>
      <c r="S495" s="229"/>
      <c r="T495" s="229"/>
      <c r="U495" s="217"/>
      <c r="V495" s="217"/>
      <c r="W495" s="218"/>
      <c r="X495" s="220"/>
    </row>
    <row r="496" spans="1:24" s="75" customFormat="1" ht="25.65" customHeight="1">
      <c r="A496" s="218"/>
      <c r="B496" s="221"/>
      <c r="C496" s="222"/>
      <c r="D496" s="223"/>
      <c r="E496" s="223"/>
      <c r="F496" s="223"/>
      <c r="G496" s="224"/>
      <c r="H496" s="209"/>
      <c r="I496" s="209"/>
      <c r="J496" s="209"/>
      <c r="K496" s="171"/>
      <c r="L496" s="225"/>
      <c r="M496" s="225"/>
      <c r="N496" s="230"/>
      <c r="O496" s="228"/>
      <c r="P496" s="231"/>
      <c r="Q496" s="228"/>
      <c r="R496" s="231"/>
      <c r="S496" s="229"/>
      <c r="T496" s="229"/>
      <c r="U496" s="217"/>
      <c r="V496" s="217"/>
      <c r="W496" s="218"/>
      <c r="X496" s="220"/>
    </row>
    <row r="497" spans="1:24" s="75" customFormat="1" ht="25.65" customHeight="1">
      <c r="A497" s="218"/>
      <c r="B497" s="221"/>
      <c r="C497" s="222"/>
      <c r="D497" s="223"/>
      <c r="E497" s="223"/>
      <c r="F497" s="223"/>
      <c r="G497" s="224"/>
      <c r="H497" s="209"/>
      <c r="I497" s="209"/>
      <c r="J497" s="209"/>
      <c r="K497" s="171"/>
      <c r="L497" s="225"/>
      <c r="M497" s="225"/>
      <c r="N497" s="230"/>
      <c r="O497" s="228"/>
      <c r="P497" s="231"/>
      <c r="Q497" s="228"/>
      <c r="R497" s="231"/>
      <c r="S497" s="229"/>
      <c r="T497" s="229"/>
      <c r="U497" s="217"/>
      <c r="V497" s="217"/>
      <c r="W497" s="218"/>
      <c r="X497" s="220"/>
    </row>
    <row r="498" spans="1:24" s="75" customFormat="1" ht="25.65" customHeight="1">
      <c r="A498" s="218"/>
      <c r="B498" s="221"/>
      <c r="C498" s="222"/>
      <c r="D498" s="223"/>
      <c r="E498" s="223"/>
      <c r="F498" s="223"/>
      <c r="G498" s="224"/>
      <c r="H498" s="209"/>
      <c r="I498" s="209"/>
      <c r="J498" s="209"/>
      <c r="K498" s="171"/>
      <c r="L498" s="225"/>
      <c r="M498" s="225"/>
      <c r="N498" s="230"/>
      <c r="O498" s="228"/>
      <c r="P498" s="231"/>
      <c r="Q498" s="228"/>
      <c r="R498" s="231"/>
      <c r="S498" s="229"/>
      <c r="T498" s="229"/>
      <c r="U498" s="217"/>
      <c r="V498" s="217"/>
      <c r="W498" s="218"/>
      <c r="X498" s="220"/>
    </row>
    <row r="499" spans="1:24" s="75" customFormat="1" ht="25.65" customHeight="1">
      <c r="A499" s="218"/>
      <c r="B499" s="221"/>
      <c r="C499" s="222"/>
      <c r="D499" s="223"/>
      <c r="E499" s="223"/>
      <c r="F499" s="223"/>
      <c r="G499" s="224"/>
      <c r="H499" s="209"/>
      <c r="I499" s="209"/>
      <c r="J499" s="209"/>
      <c r="K499" s="171"/>
      <c r="L499" s="225"/>
      <c r="M499" s="225"/>
      <c r="N499" s="230"/>
      <c r="O499" s="228"/>
      <c r="P499" s="231"/>
      <c r="Q499" s="228"/>
      <c r="R499" s="231"/>
      <c r="S499" s="229"/>
      <c r="T499" s="229"/>
      <c r="U499" s="217"/>
      <c r="V499" s="217"/>
      <c r="W499" s="218"/>
      <c r="X499" s="220"/>
    </row>
    <row r="500" spans="1:24" s="75" customFormat="1" ht="25.65" customHeight="1">
      <c r="A500" s="218"/>
      <c r="B500" s="221"/>
      <c r="C500" s="222"/>
      <c r="D500" s="223"/>
      <c r="E500" s="223"/>
      <c r="F500" s="223"/>
      <c r="G500" s="224"/>
      <c r="H500" s="209"/>
      <c r="I500" s="209"/>
      <c r="J500" s="209"/>
      <c r="K500" s="171"/>
      <c r="L500" s="225"/>
      <c r="M500" s="225"/>
      <c r="N500" s="230"/>
      <c r="O500" s="228"/>
      <c r="P500" s="231"/>
      <c r="Q500" s="228"/>
      <c r="R500" s="231"/>
      <c r="S500" s="229"/>
      <c r="T500" s="229"/>
      <c r="U500" s="217"/>
      <c r="V500" s="217"/>
      <c r="W500" s="218"/>
      <c r="X500" s="220"/>
    </row>
    <row r="501" spans="1:24" s="75" customFormat="1" ht="25.65" customHeight="1">
      <c r="A501" s="218"/>
      <c r="B501" s="221"/>
      <c r="C501" s="222"/>
      <c r="D501" s="223"/>
      <c r="E501" s="223"/>
      <c r="F501" s="223"/>
      <c r="G501" s="224"/>
      <c r="H501" s="209"/>
      <c r="I501" s="209"/>
      <c r="J501" s="209"/>
      <c r="K501" s="171"/>
      <c r="L501" s="225"/>
      <c r="M501" s="225"/>
      <c r="N501" s="230"/>
      <c r="O501" s="228"/>
      <c r="P501" s="231"/>
      <c r="Q501" s="228"/>
      <c r="R501" s="231"/>
      <c r="S501" s="229"/>
      <c r="T501" s="229"/>
      <c r="U501" s="217"/>
      <c r="V501" s="217"/>
      <c r="W501" s="218"/>
      <c r="X501" s="220"/>
    </row>
    <row r="502" spans="1:24" s="75" customFormat="1" ht="25.65" customHeight="1">
      <c r="A502" s="218"/>
      <c r="B502" s="221"/>
      <c r="C502" s="222"/>
      <c r="D502" s="223"/>
      <c r="E502" s="223"/>
      <c r="F502" s="223"/>
      <c r="G502" s="224"/>
      <c r="H502" s="209"/>
      <c r="I502" s="209"/>
      <c r="J502" s="209"/>
      <c r="K502" s="171"/>
      <c r="L502" s="225"/>
      <c r="M502" s="225"/>
      <c r="N502" s="230"/>
      <c r="O502" s="228"/>
      <c r="P502" s="231"/>
      <c r="Q502" s="228"/>
      <c r="R502" s="231"/>
      <c r="S502" s="229"/>
      <c r="T502" s="229"/>
      <c r="U502" s="217"/>
      <c r="V502" s="217"/>
      <c r="W502" s="218"/>
      <c r="X502" s="220"/>
    </row>
    <row r="503" spans="1:24" s="75" customFormat="1" ht="25.65" customHeight="1">
      <c r="A503" s="218"/>
      <c r="B503" s="221"/>
      <c r="C503" s="222"/>
      <c r="D503" s="223"/>
      <c r="E503" s="223"/>
      <c r="F503" s="223"/>
      <c r="G503" s="224"/>
      <c r="H503" s="209"/>
      <c r="I503" s="209"/>
      <c r="J503" s="209"/>
      <c r="K503" s="171"/>
      <c r="L503" s="225"/>
      <c r="M503" s="225"/>
      <c r="N503" s="230"/>
      <c r="O503" s="228"/>
      <c r="P503" s="231"/>
      <c r="Q503" s="228"/>
      <c r="R503" s="231"/>
      <c r="S503" s="229"/>
      <c r="T503" s="229"/>
      <c r="U503" s="217"/>
      <c r="V503" s="217"/>
      <c r="W503" s="218"/>
      <c r="X503" s="220"/>
    </row>
    <row r="504" spans="1:24" s="75" customFormat="1" ht="25.65" customHeight="1">
      <c r="A504" s="218"/>
      <c r="B504" s="221"/>
      <c r="C504" s="222"/>
      <c r="D504" s="223"/>
      <c r="E504" s="223"/>
      <c r="F504" s="223"/>
      <c r="G504" s="224"/>
      <c r="H504" s="209"/>
      <c r="I504" s="209"/>
      <c r="J504" s="209"/>
      <c r="K504" s="171"/>
      <c r="L504" s="225"/>
      <c r="M504" s="225"/>
      <c r="N504" s="230"/>
      <c r="O504" s="228"/>
      <c r="P504" s="231"/>
      <c r="Q504" s="228"/>
      <c r="R504" s="231"/>
      <c r="S504" s="229"/>
      <c r="T504" s="229"/>
      <c r="U504" s="217"/>
      <c r="V504" s="217"/>
      <c r="W504" s="218"/>
      <c r="X504" s="220"/>
    </row>
    <row r="505" spans="1:24" s="75" customFormat="1" ht="25.65" customHeight="1">
      <c r="A505" s="218"/>
      <c r="B505" s="221"/>
      <c r="C505" s="222"/>
      <c r="D505" s="223"/>
      <c r="E505" s="223"/>
      <c r="F505" s="223"/>
      <c r="G505" s="224"/>
      <c r="H505" s="209"/>
      <c r="I505" s="209"/>
      <c r="J505" s="209"/>
      <c r="K505" s="171"/>
      <c r="L505" s="225"/>
      <c r="M505" s="225"/>
      <c r="N505" s="230"/>
      <c r="O505" s="228"/>
      <c r="P505" s="231"/>
      <c r="Q505" s="228"/>
      <c r="R505" s="231"/>
      <c r="S505" s="229"/>
      <c r="T505" s="229"/>
      <c r="U505" s="217"/>
      <c r="V505" s="217"/>
      <c r="W505" s="218"/>
      <c r="X505" s="220"/>
    </row>
    <row r="506" spans="1:24" s="75" customFormat="1" ht="25.65" customHeight="1">
      <c r="A506" s="218"/>
      <c r="B506" s="221"/>
      <c r="C506" s="222"/>
      <c r="D506" s="223"/>
      <c r="E506" s="223"/>
      <c r="F506" s="223"/>
      <c r="G506" s="224"/>
      <c r="H506" s="209"/>
      <c r="I506" s="209"/>
      <c r="J506" s="209"/>
      <c r="K506" s="171"/>
      <c r="L506" s="225"/>
      <c r="M506" s="225"/>
      <c r="N506" s="230"/>
      <c r="O506" s="228"/>
      <c r="P506" s="231"/>
      <c r="Q506" s="228"/>
      <c r="R506" s="231"/>
      <c r="S506" s="229"/>
      <c r="T506" s="229"/>
      <c r="U506" s="217"/>
      <c r="V506" s="217"/>
      <c r="W506" s="218"/>
      <c r="X506" s="220"/>
    </row>
    <row r="507" spans="1:24" s="75" customFormat="1" ht="25.65" customHeight="1">
      <c r="A507" s="218"/>
      <c r="B507" s="221"/>
      <c r="C507" s="222"/>
      <c r="D507" s="223"/>
      <c r="E507" s="223"/>
      <c r="F507" s="223"/>
      <c r="G507" s="224"/>
      <c r="H507" s="209"/>
      <c r="I507" s="209"/>
      <c r="J507" s="209"/>
      <c r="K507" s="171"/>
      <c r="L507" s="225"/>
      <c r="M507" s="225"/>
      <c r="N507" s="230"/>
      <c r="O507" s="228"/>
      <c r="P507" s="231"/>
      <c r="Q507" s="228"/>
      <c r="R507" s="231"/>
      <c r="S507" s="229"/>
      <c r="T507" s="229"/>
      <c r="U507" s="217"/>
      <c r="V507" s="217"/>
      <c r="W507" s="218"/>
      <c r="X507" s="220"/>
    </row>
    <row r="508" spans="1:24" s="75" customFormat="1" ht="25.65" customHeight="1">
      <c r="A508" s="218"/>
      <c r="B508" s="221"/>
      <c r="C508" s="222"/>
      <c r="D508" s="223"/>
      <c r="E508" s="223"/>
      <c r="F508" s="223"/>
      <c r="G508" s="224"/>
      <c r="H508" s="209"/>
      <c r="I508" s="209"/>
      <c r="J508" s="209"/>
      <c r="K508" s="171"/>
      <c r="L508" s="225"/>
      <c r="M508" s="225"/>
      <c r="N508" s="230"/>
      <c r="O508" s="228"/>
      <c r="P508" s="231"/>
      <c r="Q508" s="228"/>
      <c r="R508" s="231"/>
      <c r="S508" s="229"/>
      <c r="T508" s="229"/>
      <c r="U508" s="217"/>
      <c r="V508" s="217"/>
      <c r="W508" s="218"/>
      <c r="X508" s="220"/>
    </row>
    <row r="509" spans="1:24" s="75" customFormat="1" ht="25.65" customHeight="1">
      <c r="A509" s="218"/>
      <c r="B509" s="221"/>
      <c r="C509" s="222"/>
      <c r="D509" s="223"/>
      <c r="E509" s="223"/>
      <c r="F509" s="223"/>
      <c r="G509" s="224"/>
      <c r="H509" s="209"/>
      <c r="I509" s="209"/>
      <c r="J509" s="209"/>
      <c r="K509" s="171"/>
      <c r="L509" s="225"/>
      <c r="M509" s="225"/>
      <c r="N509" s="230"/>
      <c r="O509" s="228"/>
      <c r="P509" s="231"/>
      <c r="Q509" s="228"/>
      <c r="R509" s="231"/>
      <c r="S509" s="229"/>
      <c r="T509" s="229"/>
      <c r="U509" s="217"/>
      <c r="V509" s="217"/>
      <c r="W509" s="218"/>
      <c r="X509" s="220"/>
    </row>
    <row r="510" spans="1:24" s="75" customFormat="1" ht="25.65" customHeight="1">
      <c r="A510" s="218"/>
      <c r="B510" s="221"/>
      <c r="C510" s="222"/>
      <c r="D510" s="223"/>
      <c r="E510" s="223"/>
      <c r="F510" s="223"/>
      <c r="G510" s="224"/>
      <c r="H510" s="209"/>
      <c r="I510" s="209"/>
      <c r="J510" s="209"/>
      <c r="K510" s="171"/>
      <c r="L510" s="225"/>
      <c r="M510" s="225"/>
      <c r="N510" s="230"/>
      <c r="O510" s="228"/>
      <c r="P510" s="231"/>
      <c r="Q510" s="228"/>
      <c r="R510" s="231"/>
      <c r="S510" s="229"/>
      <c r="T510" s="229"/>
      <c r="U510" s="217"/>
      <c r="V510" s="217"/>
      <c r="W510" s="218"/>
      <c r="X510" s="220"/>
    </row>
    <row r="511" spans="1:24" s="75" customFormat="1" ht="25.65" customHeight="1">
      <c r="A511" s="218"/>
      <c r="B511" s="221"/>
      <c r="C511" s="222"/>
      <c r="D511" s="223"/>
      <c r="E511" s="223"/>
      <c r="F511" s="223"/>
      <c r="G511" s="224"/>
      <c r="H511" s="209"/>
      <c r="I511" s="209"/>
      <c r="J511" s="209"/>
      <c r="K511" s="171"/>
      <c r="L511" s="225"/>
      <c r="M511" s="225"/>
      <c r="N511" s="230"/>
      <c r="O511" s="228"/>
      <c r="P511" s="231"/>
      <c r="Q511" s="228"/>
      <c r="R511" s="231"/>
      <c r="S511" s="229"/>
      <c r="T511" s="229"/>
      <c r="U511" s="217"/>
      <c r="V511" s="217"/>
      <c r="W511" s="218"/>
      <c r="X511" s="220"/>
    </row>
    <row r="512" spans="1:24" s="75" customFormat="1" ht="25.65" customHeight="1">
      <c r="A512" s="218"/>
      <c r="B512" s="221"/>
      <c r="C512" s="222"/>
      <c r="D512" s="223"/>
      <c r="E512" s="223"/>
      <c r="F512" s="223"/>
      <c r="G512" s="224"/>
      <c r="H512" s="209"/>
      <c r="I512" s="209"/>
      <c r="J512" s="209"/>
      <c r="K512" s="171"/>
      <c r="L512" s="225"/>
      <c r="M512" s="225"/>
      <c r="N512" s="230"/>
      <c r="O512" s="228"/>
      <c r="P512" s="231"/>
      <c r="Q512" s="228"/>
      <c r="R512" s="231"/>
      <c r="S512" s="229"/>
      <c r="T512" s="229"/>
      <c r="U512" s="217"/>
      <c r="V512" s="217"/>
      <c r="W512" s="218"/>
      <c r="X512" s="220"/>
    </row>
    <row r="513" spans="1:24" s="75" customFormat="1" ht="25.65" customHeight="1">
      <c r="A513" s="218"/>
      <c r="B513" s="221"/>
      <c r="C513" s="222"/>
      <c r="D513" s="223"/>
      <c r="E513" s="223"/>
      <c r="F513" s="223"/>
      <c r="G513" s="224"/>
      <c r="H513" s="209"/>
      <c r="I513" s="209"/>
      <c r="J513" s="209"/>
      <c r="K513" s="171"/>
      <c r="L513" s="225"/>
      <c r="M513" s="225"/>
      <c r="N513" s="230"/>
      <c r="O513" s="228"/>
      <c r="P513" s="231"/>
      <c r="Q513" s="228"/>
      <c r="R513" s="231"/>
      <c r="S513" s="229"/>
      <c r="T513" s="229"/>
      <c r="U513" s="217"/>
      <c r="V513" s="217"/>
      <c r="W513" s="218"/>
      <c r="X513" s="220"/>
    </row>
    <row r="514" spans="1:24" s="75" customFormat="1" ht="25.65" customHeight="1">
      <c r="A514" s="218"/>
      <c r="B514" s="221"/>
      <c r="C514" s="222"/>
      <c r="D514" s="223"/>
      <c r="E514" s="223"/>
      <c r="F514" s="223"/>
      <c r="G514" s="224"/>
      <c r="H514" s="209"/>
      <c r="I514" s="209"/>
      <c r="J514" s="209"/>
      <c r="K514" s="171"/>
      <c r="L514" s="225"/>
      <c r="M514" s="225"/>
      <c r="N514" s="230"/>
      <c r="O514" s="228"/>
      <c r="P514" s="231"/>
      <c r="Q514" s="228"/>
      <c r="R514" s="231"/>
      <c r="S514" s="229"/>
      <c r="T514" s="229"/>
      <c r="U514" s="217"/>
      <c r="V514" s="217"/>
      <c r="W514" s="218"/>
      <c r="X514" s="220"/>
    </row>
    <row r="515" spans="1:24" s="75" customFormat="1" ht="25.65" customHeight="1">
      <c r="A515" s="218"/>
      <c r="B515" s="221"/>
      <c r="C515" s="222"/>
      <c r="D515" s="223"/>
      <c r="E515" s="223"/>
      <c r="F515" s="223"/>
      <c r="G515" s="224"/>
      <c r="H515" s="209"/>
      <c r="I515" s="209"/>
      <c r="J515" s="209"/>
      <c r="K515" s="171"/>
      <c r="L515" s="225"/>
      <c r="M515" s="225"/>
      <c r="N515" s="230"/>
      <c r="O515" s="228"/>
      <c r="P515" s="231"/>
      <c r="Q515" s="228"/>
      <c r="R515" s="231"/>
      <c r="S515" s="229"/>
      <c r="T515" s="229"/>
      <c r="U515" s="217"/>
      <c r="V515" s="217"/>
      <c r="W515" s="218"/>
      <c r="X515" s="220"/>
    </row>
    <row r="516" spans="1:24" s="75" customFormat="1" ht="25.65" customHeight="1">
      <c r="A516" s="218"/>
      <c r="B516" s="221"/>
      <c r="C516" s="222"/>
      <c r="D516" s="223"/>
      <c r="E516" s="223"/>
      <c r="F516" s="223"/>
      <c r="G516" s="224"/>
      <c r="H516" s="209"/>
      <c r="I516" s="209"/>
      <c r="J516" s="209"/>
      <c r="K516" s="171"/>
      <c r="L516" s="225"/>
      <c r="M516" s="225"/>
      <c r="N516" s="230"/>
      <c r="O516" s="228"/>
      <c r="P516" s="231"/>
      <c r="Q516" s="228"/>
      <c r="R516" s="231"/>
      <c r="S516" s="229"/>
      <c r="T516" s="229"/>
      <c r="U516" s="217"/>
      <c r="V516" s="217"/>
      <c r="W516" s="218"/>
      <c r="X516" s="220"/>
    </row>
    <row r="517" spans="1:24" s="75" customFormat="1" ht="25.65" customHeight="1">
      <c r="A517" s="218"/>
      <c r="B517" s="221"/>
      <c r="C517" s="222"/>
      <c r="D517" s="223"/>
      <c r="E517" s="223"/>
      <c r="F517" s="223"/>
      <c r="G517" s="224"/>
      <c r="H517" s="209"/>
      <c r="I517" s="209"/>
      <c r="J517" s="209"/>
      <c r="K517" s="171"/>
      <c r="L517" s="225"/>
      <c r="M517" s="225"/>
      <c r="N517" s="230"/>
      <c r="O517" s="228"/>
      <c r="P517" s="231"/>
      <c r="Q517" s="228"/>
      <c r="R517" s="231"/>
      <c r="S517" s="229"/>
      <c r="T517" s="229"/>
      <c r="U517" s="217"/>
      <c r="V517" s="217"/>
      <c r="W517" s="218"/>
      <c r="X517" s="220"/>
    </row>
    <row r="518" spans="1:24" s="75" customFormat="1" ht="25.65" customHeight="1">
      <c r="A518" s="218"/>
      <c r="B518" s="221"/>
      <c r="C518" s="222"/>
      <c r="D518" s="223"/>
      <c r="E518" s="223"/>
      <c r="F518" s="223"/>
      <c r="G518" s="224"/>
      <c r="H518" s="209"/>
      <c r="I518" s="209"/>
      <c r="J518" s="209"/>
      <c r="K518" s="171"/>
      <c r="L518" s="225"/>
      <c r="M518" s="225"/>
      <c r="N518" s="230"/>
      <c r="O518" s="228"/>
      <c r="P518" s="231"/>
      <c r="Q518" s="228"/>
      <c r="R518" s="231"/>
      <c r="S518" s="229"/>
      <c r="T518" s="229"/>
      <c r="U518" s="217"/>
      <c r="V518" s="217"/>
      <c r="W518" s="218"/>
      <c r="X518" s="220"/>
    </row>
    <row r="519" spans="1:24" s="75" customFormat="1" ht="25.65" customHeight="1">
      <c r="A519" s="218"/>
      <c r="B519" s="221"/>
      <c r="C519" s="222"/>
      <c r="D519" s="223"/>
      <c r="E519" s="223"/>
      <c r="F519" s="223"/>
      <c r="G519" s="224"/>
      <c r="H519" s="209"/>
      <c r="I519" s="209"/>
      <c r="J519" s="209"/>
      <c r="K519" s="171"/>
      <c r="L519" s="225"/>
      <c r="M519" s="225"/>
      <c r="N519" s="230"/>
      <c r="O519" s="228"/>
      <c r="P519" s="231"/>
      <c r="Q519" s="228"/>
      <c r="R519" s="231"/>
      <c r="S519" s="229"/>
      <c r="T519" s="229"/>
      <c r="U519" s="217"/>
      <c r="V519" s="217"/>
      <c r="W519" s="218"/>
      <c r="X519" s="220"/>
    </row>
    <row r="520" spans="1:24" s="75" customFormat="1" ht="25.65" customHeight="1">
      <c r="A520" s="218"/>
      <c r="B520" s="221"/>
      <c r="C520" s="222"/>
      <c r="D520" s="223"/>
      <c r="E520" s="223"/>
      <c r="F520" s="223"/>
      <c r="G520" s="224"/>
      <c r="H520" s="209"/>
      <c r="I520" s="209"/>
      <c r="J520" s="209"/>
      <c r="K520" s="171"/>
      <c r="L520" s="225"/>
      <c r="M520" s="225"/>
      <c r="N520" s="230"/>
      <c r="O520" s="228"/>
      <c r="P520" s="231"/>
      <c r="Q520" s="228"/>
      <c r="R520" s="231"/>
      <c r="S520" s="229"/>
      <c r="T520" s="229"/>
      <c r="U520" s="217"/>
      <c r="V520" s="217"/>
      <c r="W520" s="218"/>
      <c r="X520" s="220"/>
    </row>
    <row r="521" spans="1:24" s="75" customFormat="1" ht="25.65" customHeight="1">
      <c r="A521" s="218"/>
      <c r="B521" s="221"/>
      <c r="C521" s="222"/>
      <c r="D521" s="223"/>
      <c r="E521" s="223"/>
      <c r="F521" s="223"/>
      <c r="G521" s="224"/>
      <c r="H521" s="209"/>
      <c r="I521" s="209"/>
      <c r="J521" s="209"/>
      <c r="K521" s="171"/>
      <c r="L521" s="225"/>
      <c r="M521" s="225"/>
      <c r="N521" s="230"/>
      <c r="O521" s="228"/>
      <c r="P521" s="231"/>
      <c r="Q521" s="228"/>
      <c r="R521" s="231"/>
      <c r="S521" s="229"/>
      <c r="T521" s="229"/>
      <c r="U521" s="217"/>
      <c r="V521" s="217"/>
      <c r="W521" s="218"/>
      <c r="X521" s="220"/>
    </row>
    <row r="522" spans="1:24" s="75" customFormat="1" ht="25.65" customHeight="1">
      <c r="A522" s="218"/>
      <c r="B522" s="221"/>
      <c r="C522" s="222"/>
      <c r="D522" s="223"/>
      <c r="E522" s="223"/>
      <c r="F522" s="223"/>
      <c r="G522" s="224"/>
      <c r="H522" s="209"/>
      <c r="I522" s="209"/>
      <c r="J522" s="209"/>
      <c r="K522" s="171"/>
      <c r="L522" s="225"/>
      <c r="M522" s="225"/>
      <c r="N522" s="230"/>
      <c r="O522" s="228"/>
      <c r="P522" s="231"/>
      <c r="Q522" s="228"/>
      <c r="R522" s="231"/>
      <c r="S522" s="229"/>
      <c r="T522" s="229"/>
      <c r="U522" s="217"/>
      <c r="V522" s="217"/>
      <c r="W522" s="218"/>
      <c r="X522" s="220"/>
    </row>
    <row r="523" spans="1:24" s="75" customFormat="1" ht="25.65" customHeight="1">
      <c r="A523" s="218"/>
      <c r="B523" s="221"/>
      <c r="C523" s="222"/>
      <c r="D523" s="223"/>
      <c r="E523" s="223"/>
      <c r="F523" s="223"/>
      <c r="G523" s="224"/>
      <c r="H523" s="209"/>
      <c r="I523" s="209"/>
      <c r="J523" s="209"/>
      <c r="K523" s="171"/>
      <c r="L523" s="225"/>
      <c r="M523" s="225"/>
      <c r="N523" s="230"/>
      <c r="O523" s="228"/>
      <c r="P523" s="231"/>
      <c r="Q523" s="228"/>
      <c r="R523" s="231"/>
      <c r="S523" s="229"/>
      <c r="T523" s="229"/>
      <c r="U523" s="217"/>
      <c r="V523" s="217"/>
      <c r="W523" s="218"/>
      <c r="X523" s="220"/>
    </row>
    <row r="524" spans="1:24" s="75" customFormat="1" ht="25.65" customHeight="1">
      <c r="A524" s="218"/>
      <c r="B524" s="221"/>
      <c r="C524" s="222"/>
      <c r="D524" s="223"/>
      <c r="E524" s="223"/>
      <c r="F524" s="223"/>
      <c r="G524" s="224"/>
      <c r="H524" s="209"/>
      <c r="I524" s="209"/>
      <c r="J524" s="209"/>
      <c r="K524" s="171"/>
      <c r="L524" s="225"/>
      <c r="M524" s="225"/>
      <c r="N524" s="230"/>
      <c r="O524" s="228"/>
      <c r="P524" s="231"/>
      <c r="Q524" s="228"/>
      <c r="R524" s="231"/>
      <c r="S524" s="229"/>
      <c r="T524" s="229"/>
      <c r="U524" s="217"/>
      <c r="V524" s="217"/>
      <c r="W524" s="218"/>
      <c r="X524" s="220"/>
    </row>
    <row r="525" spans="1:24" s="75" customFormat="1" ht="25.65" customHeight="1">
      <c r="A525" s="218"/>
      <c r="B525" s="221"/>
      <c r="C525" s="222"/>
      <c r="D525" s="223"/>
      <c r="E525" s="223"/>
      <c r="F525" s="223"/>
      <c r="G525" s="224"/>
      <c r="H525" s="209"/>
      <c r="I525" s="209"/>
      <c r="J525" s="209"/>
      <c r="K525" s="171"/>
      <c r="L525" s="225"/>
      <c r="M525" s="225"/>
      <c r="N525" s="230"/>
      <c r="O525" s="228"/>
      <c r="P525" s="231"/>
      <c r="Q525" s="228"/>
      <c r="R525" s="231"/>
      <c r="S525" s="229"/>
      <c r="T525" s="229"/>
      <c r="U525" s="217"/>
      <c r="V525" s="217"/>
      <c r="W525" s="218"/>
      <c r="X525" s="220"/>
    </row>
    <row r="526" spans="1:24" s="75" customFormat="1" ht="25.65" customHeight="1">
      <c r="A526" s="218"/>
      <c r="B526" s="221"/>
      <c r="C526" s="222"/>
      <c r="D526" s="223"/>
      <c r="E526" s="223"/>
      <c r="F526" s="223"/>
      <c r="G526" s="224"/>
      <c r="H526" s="209"/>
      <c r="I526" s="209"/>
      <c r="J526" s="209"/>
      <c r="K526" s="171"/>
      <c r="L526" s="225"/>
      <c r="M526" s="225"/>
      <c r="N526" s="230"/>
      <c r="O526" s="228"/>
      <c r="P526" s="231"/>
      <c r="Q526" s="228"/>
      <c r="R526" s="231"/>
      <c r="S526" s="229"/>
      <c r="T526" s="229"/>
      <c r="U526" s="217"/>
      <c r="V526" s="217"/>
      <c r="W526" s="218"/>
      <c r="X526" s="220"/>
    </row>
    <row r="527" spans="1:24" s="75" customFormat="1" ht="25.65" customHeight="1">
      <c r="A527" s="218"/>
      <c r="B527" s="221"/>
      <c r="C527" s="222"/>
      <c r="D527" s="223"/>
      <c r="E527" s="223"/>
      <c r="F527" s="223"/>
      <c r="G527" s="224"/>
      <c r="H527" s="209"/>
      <c r="I527" s="209"/>
      <c r="J527" s="209"/>
      <c r="K527" s="171"/>
      <c r="L527" s="225"/>
      <c r="M527" s="225"/>
      <c r="N527" s="230"/>
      <c r="O527" s="228"/>
      <c r="P527" s="231"/>
      <c r="Q527" s="228"/>
      <c r="R527" s="231"/>
      <c r="S527" s="229"/>
      <c r="T527" s="229"/>
      <c r="U527" s="217"/>
      <c r="V527" s="217"/>
      <c r="W527" s="218"/>
      <c r="X527" s="220"/>
    </row>
    <row r="528" spans="1:24" s="75" customFormat="1" ht="25.65" customHeight="1">
      <c r="A528" s="218"/>
      <c r="B528" s="221"/>
      <c r="C528" s="222"/>
      <c r="D528" s="223"/>
      <c r="E528" s="223"/>
      <c r="F528" s="223"/>
      <c r="G528" s="224"/>
      <c r="H528" s="209"/>
      <c r="I528" s="209"/>
      <c r="J528" s="209"/>
      <c r="K528" s="171"/>
      <c r="L528" s="225"/>
      <c r="M528" s="225"/>
      <c r="N528" s="230"/>
      <c r="O528" s="228"/>
      <c r="P528" s="231"/>
      <c r="Q528" s="228"/>
      <c r="R528" s="231"/>
      <c r="S528" s="229"/>
      <c r="T528" s="229"/>
      <c r="U528" s="217"/>
      <c r="V528" s="217"/>
      <c r="W528" s="218"/>
      <c r="X528" s="220"/>
    </row>
    <row r="529" spans="1:24" s="75" customFormat="1" ht="25.65" customHeight="1">
      <c r="A529" s="218"/>
      <c r="B529" s="221"/>
      <c r="C529" s="222"/>
      <c r="D529" s="223"/>
      <c r="E529" s="223"/>
      <c r="F529" s="223"/>
      <c r="G529" s="224"/>
      <c r="H529" s="209"/>
      <c r="I529" s="209"/>
      <c r="J529" s="209"/>
      <c r="K529" s="171"/>
      <c r="L529" s="225"/>
      <c r="M529" s="225"/>
      <c r="N529" s="230"/>
      <c r="O529" s="228"/>
      <c r="P529" s="231"/>
      <c r="Q529" s="228"/>
      <c r="R529" s="231"/>
      <c r="S529" s="229"/>
      <c r="T529" s="229"/>
      <c r="U529" s="217"/>
      <c r="V529" s="217"/>
      <c r="W529" s="218"/>
      <c r="X529" s="220"/>
    </row>
    <row r="530" spans="1:24" s="75" customFormat="1" ht="25.65" customHeight="1">
      <c r="A530" s="218"/>
      <c r="B530" s="221"/>
      <c r="C530" s="222"/>
      <c r="D530" s="223"/>
      <c r="E530" s="223"/>
      <c r="F530" s="223"/>
      <c r="G530" s="224"/>
      <c r="H530" s="209"/>
      <c r="I530" s="209"/>
      <c r="J530" s="209"/>
      <c r="K530" s="171"/>
      <c r="L530" s="225"/>
      <c r="M530" s="225"/>
      <c r="N530" s="230"/>
      <c r="O530" s="228"/>
      <c r="P530" s="231"/>
      <c r="Q530" s="228"/>
      <c r="R530" s="231"/>
      <c r="S530" s="229"/>
      <c r="T530" s="229"/>
      <c r="U530" s="217"/>
      <c r="V530" s="217"/>
      <c r="W530" s="218"/>
      <c r="X530" s="220"/>
    </row>
    <row r="531" spans="1:24" s="75" customFormat="1" ht="25.65" customHeight="1">
      <c r="A531" s="218"/>
      <c r="B531" s="221"/>
      <c r="C531" s="222"/>
      <c r="D531" s="223"/>
      <c r="E531" s="223"/>
      <c r="F531" s="223"/>
      <c r="G531" s="224"/>
      <c r="H531" s="209"/>
      <c r="I531" s="209"/>
      <c r="J531" s="209"/>
      <c r="K531" s="171"/>
      <c r="L531" s="225"/>
      <c r="M531" s="225"/>
      <c r="N531" s="230"/>
      <c r="O531" s="228"/>
      <c r="P531" s="231"/>
      <c r="Q531" s="228"/>
      <c r="R531" s="231"/>
      <c r="S531" s="229"/>
      <c r="T531" s="229"/>
      <c r="U531" s="217"/>
      <c r="V531" s="217"/>
      <c r="W531" s="218"/>
      <c r="X531" s="220"/>
    </row>
    <row r="532" spans="1:24" s="75" customFormat="1" ht="25.65" customHeight="1">
      <c r="A532" s="218"/>
      <c r="B532" s="221"/>
      <c r="C532" s="222"/>
      <c r="D532" s="223"/>
      <c r="E532" s="223"/>
      <c r="F532" s="223"/>
      <c r="G532" s="224"/>
      <c r="H532" s="209"/>
      <c r="I532" s="209"/>
      <c r="J532" s="209"/>
      <c r="K532" s="171"/>
      <c r="L532" s="225"/>
      <c r="M532" s="225"/>
      <c r="N532" s="230"/>
      <c r="O532" s="228"/>
      <c r="P532" s="231"/>
      <c r="Q532" s="228"/>
      <c r="R532" s="231"/>
      <c r="S532" s="229"/>
      <c r="T532" s="229"/>
      <c r="U532" s="217"/>
      <c r="V532" s="217"/>
      <c r="W532" s="218"/>
      <c r="X532" s="220"/>
    </row>
    <row r="533" spans="1:24" s="75" customFormat="1" ht="25.65" customHeight="1">
      <c r="A533" s="218"/>
      <c r="B533" s="221"/>
      <c r="C533" s="222"/>
      <c r="D533" s="223"/>
      <c r="E533" s="223"/>
      <c r="F533" s="223"/>
      <c r="G533" s="224"/>
      <c r="H533" s="209"/>
      <c r="I533" s="209"/>
      <c r="J533" s="209"/>
      <c r="K533" s="171"/>
      <c r="L533" s="225"/>
      <c r="M533" s="225"/>
      <c r="N533" s="230"/>
      <c r="O533" s="228"/>
      <c r="P533" s="231"/>
      <c r="Q533" s="228"/>
      <c r="R533" s="231"/>
      <c r="S533" s="229"/>
      <c r="T533" s="229"/>
      <c r="U533" s="217"/>
      <c r="V533" s="217"/>
      <c r="W533" s="218"/>
      <c r="X533" s="220"/>
    </row>
    <row r="534" spans="1:24" s="75" customFormat="1" ht="25.65" customHeight="1">
      <c r="A534" s="218"/>
      <c r="B534" s="221"/>
      <c r="C534" s="222"/>
      <c r="D534" s="223"/>
      <c r="E534" s="223"/>
      <c r="F534" s="223"/>
      <c r="G534" s="224"/>
      <c r="H534" s="209"/>
      <c r="I534" s="209"/>
      <c r="J534" s="209"/>
      <c r="K534" s="171"/>
      <c r="L534" s="225"/>
      <c r="M534" s="225"/>
      <c r="N534" s="230"/>
      <c r="O534" s="228"/>
      <c r="P534" s="231"/>
      <c r="Q534" s="228"/>
      <c r="R534" s="231"/>
      <c r="S534" s="229"/>
      <c r="T534" s="229"/>
      <c r="U534" s="217"/>
      <c r="V534" s="217"/>
      <c r="W534" s="218"/>
      <c r="X534" s="220"/>
    </row>
    <row r="535" spans="1:24" s="75" customFormat="1" ht="25.65" customHeight="1">
      <c r="A535" s="218"/>
      <c r="B535" s="221"/>
      <c r="C535" s="222"/>
      <c r="D535" s="223"/>
      <c r="E535" s="223"/>
      <c r="F535" s="223"/>
      <c r="G535" s="224"/>
      <c r="H535" s="209"/>
      <c r="I535" s="209"/>
      <c r="J535" s="209"/>
      <c r="K535" s="171"/>
      <c r="L535" s="225"/>
      <c r="M535" s="225"/>
      <c r="N535" s="230"/>
      <c r="O535" s="228"/>
      <c r="P535" s="231"/>
      <c r="Q535" s="228"/>
      <c r="R535" s="231"/>
      <c r="S535" s="229"/>
      <c r="T535" s="229"/>
      <c r="U535" s="217"/>
      <c r="V535" s="217"/>
      <c r="W535" s="218"/>
      <c r="X535" s="220"/>
    </row>
    <row r="536" spans="1:24" s="75" customFormat="1" ht="25.65" customHeight="1">
      <c r="A536" s="218"/>
      <c r="B536" s="221"/>
      <c r="C536" s="222"/>
      <c r="D536" s="223"/>
      <c r="E536" s="223"/>
      <c r="F536" s="223"/>
      <c r="G536" s="224"/>
      <c r="H536" s="209"/>
      <c r="I536" s="209"/>
      <c r="J536" s="209"/>
      <c r="K536" s="171"/>
      <c r="L536" s="225"/>
      <c r="M536" s="225"/>
      <c r="N536" s="230"/>
      <c r="O536" s="228"/>
      <c r="P536" s="231"/>
      <c r="Q536" s="228"/>
      <c r="R536" s="231"/>
      <c r="S536" s="229"/>
      <c r="T536" s="229"/>
      <c r="U536" s="217"/>
      <c r="V536" s="217"/>
      <c r="W536" s="218"/>
      <c r="X536" s="220"/>
    </row>
    <row r="537" spans="1:24" s="75" customFormat="1" ht="25.65" customHeight="1">
      <c r="A537" s="218"/>
      <c r="B537" s="221"/>
      <c r="C537" s="222"/>
      <c r="D537" s="223"/>
      <c r="E537" s="223"/>
      <c r="F537" s="223"/>
      <c r="G537" s="224"/>
      <c r="H537" s="209"/>
      <c r="I537" s="209"/>
      <c r="J537" s="209"/>
      <c r="K537" s="171"/>
      <c r="L537" s="225"/>
      <c r="M537" s="225"/>
      <c r="N537" s="230"/>
      <c r="O537" s="228"/>
      <c r="P537" s="231"/>
      <c r="Q537" s="228"/>
      <c r="R537" s="231"/>
      <c r="S537" s="229"/>
      <c r="T537" s="229"/>
      <c r="U537" s="217"/>
      <c r="V537" s="217"/>
      <c r="W537" s="218"/>
      <c r="X537" s="220"/>
    </row>
    <row r="538" spans="1:24" s="75" customFormat="1" ht="25.65" customHeight="1">
      <c r="A538" s="218"/>
      <c r="B538" s="221"/>
      <c r="C538" s="222"/>
      <c r="D538" s="223"/>
      <c r="E538" s="223"/>
      <c r="F538" s="223"/>
      <c r="G538" s="224"/>
      <c r="H538" s="209"/>
      <c r="I538" s="209"/>
      <c r="J538" s="209"/>
      <c r="K538" s="171"/>
      <c r="L538" s="225"/>
      <c r="M538" s="225"/>
      <c r="N538" s="230"/>
      <c r="O538" s="228"/>
      <c r="P538" s="231"/>
      <c r="Q538" s="228"/>
      <c r="R538" s="231"/>
      <c r="S538" s="229"/>
      <c r="T538" s="229"/>
      <c r="U538" s="217"/>
      <c r="V538" s="217"/>
      <c r="W538" s="218"/>
      <c r="X538" s="220"/>
    </row>
    <row r="539" spans="1:24" s="75" customFormat="1" ht="25.65" customHeight="1">
      <c r="A539" s="218"/>
      <c r="B539" s="221"/>
      <c r="C539" s="222"/>
      <c r="D539" s="223"/>
      <c r="E539" s="223"/>
      <c r="F539" s="223"/>
      <c r="G539" s="224"/>
      <c r="H539" s="209"/>
      <c r="I539" s="209"/>
      <c r="J539" s="209"/>
      <c r="K539" s="171"/>
      <c r="L539" s="225"/>
      <c r="M539" s="225"/>
      <c r="N539" s="230"/>
      <c r="O539" s="228"/>
      <c r="P539" s="231"/>
      <c r="Q539" s="228"/>
      <c r="R539" s="231"/>
      <c r="S539" s="229"/>
      <c r="T539" s="229"/>
      <c r="U539" s="217"/>
      <c r="V539" s="217"/>
      <c r="W539" s="218"/>
      <c r="X539" s="220"/>
    </row>
    <row r="540" spans="1:24" s="75" customFormat="1" ht="25.65" customHeight="1">
      <c r="A540" s="218"/>
      <c r="B540" s="221"/>
      <c r="C540" s="222"/>
      <c r="D540" s="223"/>
      <c r="E540" s="223"/>
      <c r="F540" s="223"/>
      <c r="G540" s="224"/>
      <c r="H540" s="209"/>
      <c r="I540" s="209"/>
      <c r="J540" s="209"/>
      <c r="K540" s="171"/>
      <c r="L540" s="225"/>
      <c r="M540" s="225"/>
      <c r="N540" s="230"/>
      <c r="O540" s="228"/>
      <c r="P540" s="231"/>
      <c r="Q540" s="228"/>
      <c r="R540" s="231"/>
      <c r="S540" s="229"/>
      <c r="T540" s="229"/>
      <c r="U540" s="217"/>
      <c r="V540" s="217"/>
      <c r="W540" s="218"/>
      <c r="X540" s="220"/>
    </row>
    <row r="541" spans="1:24" s="75" customFormat="1" ht="25.65" customHeight="1">
      <c r="A541" s="218"/>
      <c r="B541" s="221"/>
      <c r="C541" s="222"/>
      <c r="D541" s="223"/>
      <c r="E541" s="223"/>
      <c r="F541" s="223"/>
      <c r="G541" s="224"/>
      <c r="H541" s="209"/>
      <c r="I541" s="209"/>
      <c r="J541" s="209"/>
      <c r="K541" s="171"/>
      <c r="L541" s="225"/>
      <c r="M541" s="225"/>
      <c r="N541" s="230"/>
      <c r="O541" s="228"/>
      <c r="P541" s="231"/>
      <c r="Q541" s="228"/>
      <c r="R541" s="231"/>
      <c r="S541" s="229"/>
      <c r="T541" s="229"/>
      <c r="U541" s="217"/>
      <c r="V541" s="217"/>
      <c r="W541" s="218"/>
      <c r="X541" s="220"/>
    </row>
    <row r="542" spans="1:24" s="75" customFormat="1" ht="25.65" customHeight="1">
      <c r="A542" s="218"/>
      <c r="B542" s="221"/>
      <c r="C542" s="222"/>
      <c r="D542" s="223"/>
      <c r="E542" s="223"/>
      <c r="F542" s="223"/>
      <c r="G542" s="224"/>
      <c r="H542" s="209"/>
      <c r="I542" s="209"/>
      <c r="J542" s="209"/>
      <c r="K542" s="171"/>
      <c r="L542" s="225"/>
      <c r="M542" s="225"/>
      <c r="N542" s="230"/>
      <c r="O542" s="228"/>
      <c r="P542" s="231"/>
      <c r="Q542" s="228"/>
      <c r="R542" s="231"/>
      <c r="S542" s="229"/>
      <c r="T542" s="229"/>
      <c r="U542" s="217"/>
      <c r="V542" s="217"/>
      <c r="W542" s="218"/>
      <c r="X542" s="220"/>
    </row>
    <row r="543" spans="1:24" s="75" customFormat="1" ht="25.65" customHeight="1">
      <c r="A543" s="218"/>
      <c r="B543" s="221"/>
      <c r="C543" s="222"/>
      <c r="D543" s="223"/>
      <c r="E543" s="223"/>
      <c r="F543" s="223"/>
      <c r="G543" s="224"/>
      <c r="H543" s="209"/>
      <c r="I543" s="209"/>
      <c r="J543" s="209"/>
      <c r="K543" s="171"/>
      <c r="L543" s="225"/>
      <c r="M543" s="225"/>
      <c r="N543" s="230"/>
      <c r="O543" s="228"/>
      <c r="P543" s="231"/>
      <c r="Q543" s="228"/>
      <c r="R543" s="231"/>
      <c r="S543" s="229"/>
      <c r="T543" s="229"/>
      <c r="U543" s="217"/>
      <c r="V543" s="217"/>
      <c r="W543" s="218"/>
      <c r="X543" s="220"/>
    </row>
    <row r="544" spans="1:24" s="75" customFormat="1" ht="25.65" customHeight="1">
      <c r="A544" s="218"/>
      <c r="B544" s="221"/>
      <c r="C544" s="222"/>
      <c r="D544" s="223"/>
      <c r="E544" s="223"/>
      <c r="F544" s="223"/>
      <c r="G544" s="224"/>
      <c r="H544" s="209"/>
      <c r="I544" s="209"/>
      <c r="J544" s="209"/>
      <c r="K544" s="171"/>
      <c r="L544" s="225"/>
      <c r="M544" s="225"/>
      <c r="N544" s="230"/>
      <c r="O544" s="228"/>
      <c r="P544" s="231"/>
      <c r="Q544" s="228"/>
      <c r="R544" s="231"/>
      <c r="S544" s="229"/>
      <c r="T544" s="229"/>
      <c r="U544" s="217"/>
      <c r="V544" s="217"/>
      <c r="W544" s="218"/>
      <c r="X544" s="220"/>
    </row>
    <row r="545" spans="1:24" s="75" customFormat="1" ht="25.65" customHeight="1">
      <c r="A545" s="218"/>
      <c r="B545" s="221"/>
      <c r="C545" s="222"/>
      <c r="D545" s="223"/>
      <c r="E545" s="223"/>
      <c r="F545" s="223"/>
      <c r="G545" s="224"/>
      <c r="H545" s="209"/>
      <c r="I545" s="209"/>
      <c r="J545" s="209"/>
      <c r="K545" s="171"/>
      <c r="L545" s="225"/>
      <c r="M545" s="225"/>
      <c r="N545" s="230"/>
      <c r="O545" s="228"/>
      <c r="P545" s="231"/>
      <c r="Q545" s="228"/>
      <c r="R545" s="231"/>
      <c r="S545" s="229"/>
      <c r="T545" s="229"/>
      <c r="U545" s="217"/>
      <c r="V545" s="217"/>
      <c r="W545" s="218"/>
      <c r="X545" s="220"/>
    </row>
    <row r="546" spans="1:24" s="75" customFormat="1" ht="25.65" customHeight="1">
      <c r="A546" s="218"/>
      <c r="B546" s="221"/>
      <c r="C546" s="222"/>
      <c r="D546" s="223"/>
      <c r="E546" s="223"/>
      <c r="F546" s="223"/>
      <c r="G546" s="224"/>
      <c r="H546" s="209"/>
      <c r="I546" s="209"/>
      <c r="J546" s="209"/>
      <c r="K546" s="171"/>
      <c r="L546" s="225"/>
      <c r="M546" s="225"/>
      <c r="N546" s="230"/>
      <c r="O546" s="228"/>
      <c r="P546" s="231"/>
      <c r="Q546" s="228"/>
      <c r="R546" s="231"/>
      <c r="S546" s="229"/>
      <c r="T546" s="229"/>
      <c r="U546" s="217"/>
      <c r="V546" s="217"/>
      <c r="W546" s="218"/>
      <c r="X546" s="220"/>
    </row>
    <row r="547" spans="1:24" s="75" customFormat="1" ht="25.65" customHeight="1">
      <c r="A547" s="218"/>
      <c r="B547" s="221"/>
      <c r="C547" s="222"/>
      <c r="D547" s="223"/>
      <c r="E547" s="223"/>
      <c r="F547" s="223"/>
      <c r="G547" s="224"/>
      <c r="H547" s="209"/>
      <c r="I547" s="209"/>
      <c r="J547" s="209"/>
      <c r="K547" s="171"/>
      <c r="L547" s="225"/>
      <c r="M547" s="225"/>
      <c r="N547" s="230"/>
      <c r="O547" s="228"/>
      <c r="P547" s="231"/>
      <c r="Q547" s="228"/>
      <c r="R547" s="231"/>
      <c r="S547" s="229"/>
      <c r="T547" s="229"/>
      <c r="U547" s="217"/>
      <c r="V547" s="217"/>
      <c r="W547" s="218"/>
      <c r="X547" s="220"/>
    </row>
    <row r="548" spans="1:24" s="75" customFormat="1" ht="25.65" customHeight="1">
      <c r="A548" s="218"/>
      <c r="B548" s="221"/>
      <c r="C548" s="222"/>
      <c r="D548" s="223"/>
      <c r="E548" s="223"/>
      <c r="F548" s="223"/>
      <c r="G548" s="224"/>
      <c r="H548" s="209"/>
      <c r="I548" s="209"/>
      <c r="J548" s="209"/>
      <c r="K548" s="171"/>
      <c r="L548" s="225"/>
      <c r="M548" s="225"/>
      <c r="N548" s="230"/>
      <c r="O548" s="228"/>
      <c r="P548" s="231"/>
      <c r="Q548" s="228"/>
      <c r="R548" s="231"/>
      <c r="S548" s="229"/>
      <c r="T548" s="229"/>
      <c r="U548" s="217"/>
      <c r="V548" s="217"/>
      <c r="W548" s="218"/>
      <c r="X548" s="220"/>
    </row>
    <row r="549" spans="1:24" s="75" customFormat="1" ht="25.65" customHeight="1">
      <c r="A549" s="218"/>
      <c r="B549" s="221"/>
      <c r="C549" s="222"/>
      <c r="D549" s="223"/>
      <c r="E549" s="223"/>
      <c r="F549" s="223"/>
      <c r="G549" s="224"/>
      <c r="H549" s="209"/>
      <c r="I549" s="209"/>
      <c r="J549" s="209"/>
      <c r="K549" s="171"/>
      <c r="L549" s="225"/>
      <c r="M549" s="225"/>
      <c r="N549" s="230"/>
      <c r="O549" s="228"/>
      <c r="P549" s="231"/>
      <c r="Q549" s="228"/>
      <c r="R549" s="231"/>
      <c r="S549" s="229"/>
      <c r="T549" s="229"/>
      <c r="U549" s="217"/>
      <c r="V549" s="217"/>
      <c r="W549" s="218"/>
      <c r="X549" s="220"/>
    </row>
    <row r="550" spans="1:24" s="75" customFormat="1" ht="25.65" customHeight="1">
      <c r="A550" s="218"/>
      <c r="B550" s="221"/>
      <c r="C550" s="222"/>
      <c r="D550" s="223"/>
      <c r="E550" s="223"/>
      <c r="F550" s="223"/>
      <c r="G550" s="224"/>
      <c r="H550" s="209"/>
      <c r="I550" s="209"/>
      <c r="J550" s="209"/>
      <c r="K550" s="171"/>
      <c r="L550" s="225"/>
      <c r="M550" s="225"/>
      <c r="N550" s="230"/>
      <c r="O550" s="228"/>
      <c r="P550" s="231"/>
      <c r="Q550" s="228"/>
      <c r="R550" s="231"/>
      <c r="S550" s="229"/>
      <c r="T550" s="229"/>
      <c r="U550" s="217"/>
      <c r="V550" s="217"/>
      <c r="W550" s="218"/>
      <c r="X550" s="220"/>
    </row>
    <row r="551" spans="1:24" s="75" customFormat="1" ht="25.65" customHeight="1">
      <c r="A551" s="218"/>
      <c r="B551" s="221"/>
      <c r="C551" s="222"/>
      <c r="D551" s="223"/>
      <c r="E551" s="223"/>
      <c r="F551" s="223"/>
      <c r="G551" s="224"/>
      <c r="H551" s="209"/>
      <c r="I551" s="209"/>
      <c r="J551" s="209"/>
      <c r="K551" s="171"/>
      <c r="L551" s="225"/>
      <c r="M551" s="225"/>
      <c r="N551" s="230"/>
      <c r="O551" s="228"/>
      <c r="P551" s="231"/>
      <c r="Q551" s="228"/>
      <c r="R551" s="231"/>
      <c r="S551" s="229"/>
      <c r="T551" s="229"/>
      <c r="U551" s="217"/>
      <c r="V551" s="217"/>
      <c r="W551" s="218"/>
      <c r="X551" s="220"/>
    </row>
    <row r="552" spans="1:24" s="75" customFormat="1" ht="25.65" customHeight="1">
      <c r="A552" s="218"/>
      <c r="B552" s="221"/>
      <c r="C552" s="222"/>
      <c r="D552" s="223"/>
      <c r="E552" s="223"/>
      <c r="F552" s="223"/>
      <c r="G552" s="224"/>
      <c r="H552" s="209"/>
      <c r="I552" s="209"/>
      <c r="J552" s="209"/>
      <c r="K552" s="171"/>
      <c r="L552" s="225"/>
      <c r="M552" s="225"/>
      <c r="N552" s="230"/>
      <c r="O552" s="228"/>
      <c r="P552" s="231"/>
      <c r="Q552" s="228"/>
      <c r="R552" s="231"/>
      <c r="S552" s="229"/>
      <c r="T552" s="229"/>
      <c r="U552" s="217"/>
      <c r="V552" s="217"/>
      <c r="W552" s="218"/>
      <c r="X552" s="220"/>
    </row>
    <row r="553" spans="1:24" s="75" customFormat="1" ht="25.65" customHeight="1">
      <c r="A553" s="218"/>
      <c r="B553" s="221"/>
      <c r="C553" s="222"/>
      <c r="D553" s="223"/>
      <c r="E553" s="223"/>
      <c r="F553" s="223"/>
      <c r="G553" s="224"/>
      <c r="H553" s="209"/>
      <c r="I553" s="209"/>
      <c r="J553" s="209"/>
      <c r="K553" s="171"/>
      <c r="L553" s="225"/>
      <c r="M553" s="225"/>
      <c r="N553" s="230"/>
      <c r="O553" s="228"/>
      <c r="P553" s="231"/>
      <c r="Q553" s="228"/>
      <c r="R553" s="231"/>
      <c r="S553" s="229"/>
      <c r="T553" s="229"/>
      <c r="U553" s="217"/>
      <c r="V553" s="217"/>
      <c r="W553" s="218"/>
      <c r="X553" s="220"/>
    </row>
    <row r="554" spans="1:24" s="75" customFormat="1" ht="25.65" customHeight="1">
      <c r="A554" s="218"/>
      <c r="B554" s="221"/>
      <c r="C554" s="222"/>
      <c r="D554" s="223"/>
      <c r="E554" s="223"/>
      <c r="F554" s="223"/>
      <c r="G554" s="224"/>
      <c r="H554" s="209"/>
      <c r="I554" s="209"/>
      <c r="J554" s="209"/>
      <c r="K554" s="171"/>
      <c r="L554" s="225"/>
      <c r="M554" s="225"/>
      <c r="N554" s="230"/>
      <c r="O554" s="228"/>
      <c r="P554" s="231"/>
      <c r="Q554" s="228"/>
      <c r="R554" s="231"/>
      <c r="S554" s="229"/>
      <c r="T554" s="229"/>
      <c r="U554" s="217"/>
      <c r="V554" s="217"/>
      <c r="W554" s="218"/>
      <c r="X554" s="220"/>
    </row>
    <row r="555" spans="1:24" s="75" customFormat="1" ht="25.65" customHeight="1">
      <c r="A555" s="218"/>
      <c r="B555" s="221"/>
      <c r="C555" s="222"/>
      <c r="D555" s="223"/>
      <c r="E555" s="223"/>
      <c r="F555" s="223"/>
      <c r="G555" s="224"/>
      <c r="H555" s="209"/>
      <c r="I555" s="209"/>
      <c r="J555" s="209"/>
      <c r="K555" s="171"/>
      <c r="L555" s="225"/>
      <c r="M555" s="225"/>
      <c r="N555" s="230"/>
      <c r="O555" s="228"/>
      <c r="P555" s="231"/>
      <c r="Q555" s="228"/>
      <c r="R555" s="231"/>
      <c r="S555" s="229"/>
      <c r="T555" s="229"/>
      <c r="U555" s="217"/>
      <c r="V555" s="217"/>
      <c r="W555" s="218"/>
      <c r="X555" s="220"/>
    </row>
    <row r="556" spans="1:24" s="75" customFormat="1" ht="25.65" customHeight="1">
      <c r="A556" s="218"/>
      <c r="B556" s="221"/>
      <c r="C556" s="222"/>
      <c r="D556" s="223"/>
      <c r="E556" s="223"/>
      <c r="F556" s="223"/>
      <c r="G556" s="224"/>
      <c r="H556" s="209"/>
      <c r="I556" s="209"/>
      <c r="J556" s="209"/>
      <c r="K556" s="171"/>
      <c r="L556" s="225"/>
      <c r="M556" s="225"/>
      <c r="N556" s="230"/>
      <c r="O556" s="228"/>
      <c r="P556" s="231"/>
      <c r="Q556" s="228"/>
      <c r="R556" s="231"/>
      <c r="S556" s="229"/>
      <c r="T556" s="229"/>
      <c r="U556" s="217"/>
      <c r="V556" s="217"/>
      <c r="W556" s="218"/>
      <c r="X556" s="220"/>
    </row>
    <row r="557" spans="1:24" s="75" customFormat="1" ht="25.65" customHeight="1">
      <c r="A557" s="218"/>
      <c r="B557" s="221"/>
      <c r="C557" s="222"/>
      <c r="D557" s="223"/>
      <c r="E557" s="223"/>
      <c r="F557" s="223"/>
      <c r="G557" s="224"/>
      <c r="H557" s="209"/>
      <c r="I557" s="209"/>
      <c r="J557" s="209"/>
      <c r="K557" s="171"/>
      <c r="L557" s="225"/>
      <c r="M557" s="225"/>
      <c r="N557" s="230"/>
      <c r="O557" s="228"/>
      <c r="P557" s="231"/>
      <c r="Q557" s="228"/>
      <c r="R557" s="231"/>
      <c r="S557" s="229"/>
      <c r="T557" s="229"/>
      <c r="U557" s="217"/>
      <c r="V557" s="217"/>
      <c r="W557" s="218"/>
      <c r="X557" s="220"/>
    </row>
    <row r="558" spans="1:24" s="75" customFormat="1" ht="25.65" customHeight="1">
      <c r="A558" s="218"/>
      <c r="B558" s="221"/>
      <c r="C558" s="222"/>
      <c r="D558" s="223"/>
      <c r="E558" s="223"/>
      <c r="F558" s="223"/>
      <c r="G558" s="224"/>
      <c r="H558" s="209"/>
      <c r="I558" s="209"/>
      <c r="J558" s="209"/>
      <c r="K558" s="171"/>
      <c r="L558" s="225"/>
      <c r="M558" s="225"/>
      <c r="N558" s="230"/>
      <c r="O558" s="228"/>
      <c r="P558" s="231"/>
      <c r="Q558" s="228"/>
      <c r="R558" s="231"/>
      <c r="S558" s="229"/>
      <c r="T558" s="229"/>
      <c r="U558" s="217"/>
      <c r="V558" s="217"/>
      <c r="W558" s="218"/>
      <c r="X558" s="220"/>
    </row>
    <row r="559" spans="1:24" s="75" customFormat="1" ht="25.65" customHeight="1">
      <c r="A559" s="218"/>
      <c r="B559" s="221"/>
      <c r="C559" s="222"/>
      <c r="D559" s="223"/>
      <c r="E559" s="223"/>
      <c r="F559" s="223"/>
      <c r="G559" s="224"/>
      <c r="H559" s="209"/>
      <c r="I559" s="209"/>
      <c r="J559" s="209"/>
      <c r="K559" s="171"/>
      <c r="L559" s="225"/>
      <c r="M559" s="225"/>
      <c r="N559" s="230"/>
      <c r="O559" s="228"/>
      <c r="P559" s="231"/>
      <c r="Q559" s="228"/>
      <c r="R559" s="231"/>
      <c r="S559" s="229"/>
      <c r="T559" s="229"/>
      <c r="U559" s="217"/>
      <c r="V559" s="217"/>
      <c r="W559" s="218"/>
      <c r="X559" s="220"/>
    </row>
    <row r="560" spans="1:24" s="75" customFormat="1" ht="25.65" customHeight="1">
      <c r="A560" s="218"/>
      <c r="B560" s="221"/>
      <c r="C560" s="222"/>
      <c r="D560" s="223"/>
      <c r="E560" s="223"/>
      <c r="F560" s="223"/>
      <c r="G560" s="224"/>
      <c r="H560" s="209"/>
      <c r="I560" s="209"/>
      <c r="J560" s="209"/>
      <c r="K560" s="171"/>
      <c r="L560" s="225"/>
      <c r="M560" s="225"/>
      <c r="N560" s="230"/>
      <c r="O560" s="228"/>
      <c r="P560" s="231"/>
      <c r="Q560" s="228"/>
      <c r="R560" s="231"/>
      <c r="S560" s="229"/>
      <c r="T560" s="229"/>
      <c r="U560" s="217"/>
      <c r="V560" s="217"/>
      <c r="W560" s="218"/>
      <c r="X560" s="220"/>
    </row>
    <row r="561" spans="1:24" s="75" customFormat="1" ht="25.65" customHeight="1">
      <c r="A561" s="218"/>
      <c r="B561" s="221"/>
      <c r="C561" s="222"/>
      <c r="D561" s="223"/>
      <c r="E561" s="223"/>
      <c r="F561" s="223"/>
      <c r="G561" s="224"/>
      <c r="H561" s="209"/>
      <c r="I561" s="209"/>
      <c r="J561" s="209"/>
      <c r="K561" s="171"/>
      <c r="L561" s="225"/>
      <c r="M561" s="225"/>
      <c r="N561" s="230"/>
      <c r="O561" s="228"/>
      <c r="P561" s="231"/>
      <c r="Q561" s="228"/>
      <c r="R561" s="231"/>
      <c r="S561" s="229"/>
      <c r="T561" s="229"/>
      <c r="U561" s="217"/>
      <c r="V561" s="217"/>
      <c r="W561" s="218"/>
      <c r="X561" s="220"/>
    </row>
    <row r="562" spans="1:24" s="75" customFormat="1" ht="25.65" customHeight="1">
      <c r="A562" s="218"/>
      <c r="B562" s="221"/>
      <c r="C562" s="222"/>
      <c r="D562" s="223"/>
      <c r="E562" s="223"/>
      <c r="F562" s="223"/>
      <c r="G562" s="224"/>
      <c r="H562" s="209"/>
      <c r="I562" s="209"/>
      <c r="J562" s="209"/>
      <c r="K562" s="171"/>
      <c r="L562" s="225"/>
      <c r="M562" s="225"/>
      <c r="N562" s="230"/>
      <c r="O562" s="228"/>
      <c r="P562" s="231"/>
      <c r="Q562" s="228"/>
      <c r="R562" s="231"/>
      <c r="S562" s="229"/>
      <c r="T562" s="229"/>
      <c r="U562" s="217"/>
      <c r="V562" s="217"/>
      <c r="W562" s="218"/>
      <c r="X562" s="220"/>
    </row>
    <row r="563" spans="1:24" s="75" customFormat="1" ht="25.65" customHeight="1">
      <c r="A563" s="218"/>
      <c r="B563" s="221"/>
      <c r="C563" s="222"/>
      <c r="D563" s="223"/>
      <c r="E563" s="223"/>
      <c r="F563" s="223"/>
      <c r="G563" s="224"/>
      <c r="H563" s="209"/>
      <c r="I563" s="209"/>
      <c r="J563" s="209"/>
      <c r="K563" s="171"/>
      <c r="L563" s="225"/>
      <c r="M563" s="225"/>
      <c r="N563" s="230"/>
      <c r="O563" s="228"/>
      <c r="P563" s="231"/>
      <c r="Q563" s="228"/>
      <c r="R563" s="231"/>
      <c r="S563" s="229"/>
      <c r="T563" s="229"/>
      <c r="U563" s="217"/>
      <c r="V563" s="217"/>
      <c r="W563" s="218"/>
      <c r="X563" s="220"/>
    </row>
    <row r="564" spans="1:24" s="75" customFormat="1" ht="25.65" customHeight="1">
      <c r="A564" s="218"/>
      <c r="B564" s="221"/>
      <c r="C564" s="222"/>
      <c r="D564" s="223"/>
      <c r="E564" s="223"/>
      <c r="F564" s="223"/>
      <c r="G564" s="224"/>
      <c r="H564" s="209"/>
      <c r="I564" s="209"/>
      <c r="J564" s="209"/>
      <c r="K564" s="171"/>
      <c r="L564" s="225"/>
      <c r="M564" s="225"/>
      <c r="N564" s="230"/>
      <c r="O564" s="228"/>
      <c r="P564" s="231"/>
      <c r="Q564" s="228"/>
      <c r="R564" s="231"/>
      <c r="S564" s="229"/>
      <c r="T564" s="229"/>
      <c r="U564" s="217"/>
      <c r="V564" s="217"/>
      <c r="W564" s="218"/>
      <c r="X564" s="220"/>
    </row>
    <row r="565" spans="1:24" s="75" customFormat="1" ht="25.65" customHeight="1">
      <c r="A565" s="218"/>
      <c r="B565" s="221"/>
      <c r="C565" s="222"/>
      <c r="D565" s="223"/>
      <c r="E565" s="223"/>
      <c r="F565" s="223"/>
      <c r="G565" s="224"/>
      <c r="H565" s="209"/>
      <c r="I565" s="209"/>
      <c r="J565" s="209"/>
      <c r="K565" s="171"/>
      <c r="L565" s="225"/>
      <c r="M565" s="225"/>
      <c r="N565" s="230"/>
      <c r="O565" s="228"/>
      <c r="P565" s="231"/>
      <c r="Q565" s="228"/>
      <c r="R565" s="231"/>
      <c r="S565" s="229"/>
      <c r="T565" s="229"/>
      <c r="U565" s="217"/>
      <c r="V565" s="217"/>
      <c r="W565" s="218"/>
      <c r="X565" s="220"/>
    </row>
    <row r="566" spans="1:24" s="75" customFormat="1" ht="25.65" customHeight="1">
      <c r="A566" s="218"/>
      <c r="B566" s="221"/>
      <c r="C566" s="222"/>
      <c r="D566" s="223"/>
      <c r="E566" s="223"/>
      <c r="F566" s="223"/>
      <c r="G566" s="224"/>
      <c r="H566" s="209"/>
      <c r="I566" s="209"/>
      <c r="J566" s="209"/>
      <c r="K566" s="171"/>
      <c r="L566" s="225"/>
      <c r="M566" s="225"/>
      <c r="N566" s="230"/>
      <c r="O566" s="228"/>
      <c r="P566" s="231"/>
      <c r="Q566" s="228"/>
      <c r="R566" s="231"/>
      <c r="S566" s="229"/>
      <c r="T566" s="229"/>
      <c r="U566" s="217"/>
      <c r="V566" s="217"/>
      <c r="W566" s="218"/>
      <c r="X566" s="220"/>
    </row>
    <row r="567" spans="1:24" s="75" customFormat="1" ht="25.65" customHeight="1">
      <c r="A567" s="218"/>
      <c r="B567" s="221"/>
      <c r="C567" s="222"/>
      <c r="D567" s="223"/>
      <c r="E567" s="223"/>
      <c r="F567" s="223"/>
      <c r="G567" s="224"/>
      <c r="H567" s="209"/>
      <c r="I567" s="209"/>
      <c r="J567" s="209"/>
      <c r="K567" s="171"/>
      <c r="L567" s="225"/>
      <c r="M567" s="225"/>
      <c r="N567" s="230"/>
      <c r="O567" s="228"/>
      <c r="P567" s="231"/>
      <c r="Q567" s="228"/>
      <c r="R567" s="231"/>
      <c r="S567" s="229"/>
      <c r="T567" s="229"/>
      <c r="U567" s="217"/>
      <c r="V567" s="217"/>
      <c r="W567" s="218"/>
      <c r="X567" s="220"/>
    </row>
    <row r="568" spans="1:24" s="75" customFormat="1" ht="25.65" customHeight="1">
      <c r="A568" s="218"/>
      <c r="B568" s="221"/>
      <c r="C568" s="222"/>
      <c r="D568" s="223"/>
      <c r="E568" s="223"/>
      <c r="F568" s="223"/>
      <c r="G568" s="224"/>
      <c r="H568" s="209"/>
      <c r="I568" s="209"/>
      <c r="J568" s="209"/>
      <c r="K568" s="171"/>
      <c r="L568" s="225"/>
      <c r="M568" s="225"/>
      <c r="N568" s="230"/>
      <c r="O568" s="228"/>
      <c r="P568" s="231"/>
      <c r="Q568" s="228"/>
      <c r="R568" s="231"/>
      <c r="S568" s="229"/>
      <c r="T568" s="229"/>
      <c r="U568" s="217"/>
      <c r="V568" s="217"/>
      <c r="W568" s="218"/>
      <c r="X568" s="220"/>
    </row>
    <row r="569" spans="1:24" s="75" customFormat="1" ht="25.65" customHeight="1">
      <c r="A569" s="218"/>
      <c r="B569" s="221"/>
      <c r="C569" s="222"/>
      <c r="D569" s="223"/>
      <c r="E569" s="223"/>
      <c r="F569" s="223"/>
      <c r="G569" s="224"/>
      <c r="H569" s="209"/>
      <c r="I569" s="209"/>
      <c r="J569" s="209"/>
      <c r="K569" s="171"/>
      <c r="L569" s="225"/>
      <c r="M569" s="225"/>
      <c r="N569" s="230"/>
      <c r="O569" s="228"/>
      <c r="P569" s="231"/>
      <c r="Q569" s="228"/>
      <c r="R569" s="231"/>
      <c r="S569" s="229"/>
      <c r="T569" s="229"/>
      <c r="U569" s="217"/>
      <c r="V569" s="217"/>
      <c r="W569" s="218"/>
      <c r="X569" s="220"/>
    </row>
    <row r="570" spans="1:24" s="75" customFormat="1" ht="25.65" customHeight="1">
      <c r="A570" s="218"/>
      <c r="B570" s="221"/>
      <c r="C570" s="222"/>
      <c r="D570" s="223"/>
      <c r="E570" s="223"/>
      <c r="F570" s="223"/>
      <c r="G570" s="224"/>
      <c r="H570" s="209"/>
      <c r="I570" s="209"/>
      <c r="J570" s="209"/>
      <c r="K570" s="171"/>
      <c r="L570" s="225"/>
      <c r="M570" s="225"/>
      <c r="N570" s="230"/>
      <c r="O570" s="228"/>
      <c r="P570" s="231"/>
      <c r="Q570" s="228"/>
      <c r="R570" s="231"/>
      <c r="S570" s="229"/>
      <c r="T570" s="229"/>
      <c r="U570" s="217"/>
      <c r="V570" s="217"/>
      <c r="W570" s="218"/>
      <c r="X570" s="220"/>
    </row>
    <row r="571" spans="1:24" s="75" customFormat="1" ht="25.65" customHeight="1">
      <c r="A571" s="218"/>
      <c r="B571" s="221"/>
      <c r="C571" s="222"/>
      <c r="D571" s="223"/>
      <c r="E571" s="223"/>
      <c r="F571" s="223"/>
      <c r="G571" s="224"/>
      <c r="H571" s="209"/>
      <c r="I571" s="209"/>
      <c r="J571" s="209"/>
      <c r="K571" s="171"/>
      <c r="L571" s="225"/>
      <c r="M571" s="225"/>
      <c r="N571" s="230"/>
      <c r="O571" s="228"/>
      <c r="P571" s="231"/>
      <c r="Q571" s="228"/>
      <c r="R571" s="231"/>
      <c r="S571" s="229"/>
      <c r="T571" s="229"/>
      <c r="U571" s="217"/>
      <c r="V571" s="217"/>
      <c r="W571" s="218"/>
      <c r="X571" s="220"/>
    </row>
    <row r="572" spans="1:24" s="75" customFormat="1" ht="25.65" customHeight="1">
      <c r="A572" s="218"/>
      <c r="B572" s="221"/>
      <c r="C572" s="222"/>
      <c r="D572" s="223"/>
      <c r="E572" s="223"/>
      <c r="F572" s="223"/>
      <c r="G572" s="224"/>
      <c r="H572" s="209"/>
      <c r="I572" s="209"/>
      <c r="J572" s="209"/>
      <c r="K572" s="171"/>
      <c r="L572" s="225"/>
      <c r="M572" s="225"/>
      <c r="N572" s="230"/>
      <c r="O572" s="228"/>
      <c r="P572" s="231"/>
      <c r="Q572" s="228"/>
      <c r="R572" s="231"/>
      <c r="S572" s="229"/>
      <c r="T572" s="229"/>
      <c r="U572" s="217"/>
      <c r="V572" s="217"/>
      <c r="W572" s="218"/>
      <c r="X572" s="220"/>
    </row>
    <row r="573" spans="1:24" s="75" customFormat="1" ht="25.65" customHeight="1">
      <c r="A573" s="218"/>
      <c r="B573" s="221"/>
      <c r="C573" s="222"/>
      <c r="D573" s="223"/>
      <c r="E573" s="223"/>
      <c r="F573" s="223"/>
      <c r="G573" s="224"/>
      <c r="H573" s="209"/>
      <c r="I573" s="209"/>
      <c r="J573" s="209"/>
      <c r="K573" s="171"/>
      <c r="L573" s="225"/>
      <c r="M573" s="225"/>
      <c r="N573" s="230"/>
      <c r="O573" s="228"/>
      <c r="P573" s="231"/>
      <c r="Q573" s="228"/>
      <c r="R573" s="231"/>
      <c r="S573" s="229"/>
      <c r="T573" s="229"/>
      <c r="U573" s="217"/>
      <c r="V573" s="217"/>
      <c r="W573" s="218"/>
      <c r="X573" s="220"/>
    </row>
    <row r="574" spans="1:24" s="75" customFormat="1" ht="25.65" customHeight="1">
      <c r="A574" s="218"/>
      <c r="B574" s="221"/>
      <c r="C574" s="222"/>
      <c r="D574" s="223"/>
      <c r="E574" s="223"/>
      <c r="F574" s="223"/>
      <c r="G574" s="224"/>
      <c r="H574" s="209"/>
      <c r="I574" s="209"/>
      <c r="J574" s="209"/>
      <c r="K574" s="171"/>
      <c r="L574" s="225"/>
      <c r="M574" s="225"/>
      <c r="N574" s="230"/>
      <c r="O574" s="228"/>
      <c r="P574" s="231"/>
      <c r="Q574" s="228"/>
      <c r="R574" s="231"/>
      <c r="S574" s="229"/>
      <c r="T574" s="229"/>
      <c r="U574" s="217"/>
      <c r="V574" s="217"/>
      <c r="W574" s="218"/>
      <c r="X574" s="220"/>
    </row>
    <row r="575" spans="1:24" s="75" customFormat="1" ht="25.65" customHeight="1">
      <c r="A575" s="218"/>
      <c r="B575" s="221"/>
      <c r="C575" s="222"/>
      <c r="D575" s="223"/>
      <c r="E575" s="223"/>
      <c r="F575" s="223"/>
      <c r="G575" s="224"/>
      <c r="H575" s="209"/>
      <c r="I575" s="209"/>
      <c r="J575" s="209"/>
      <c r="K575" s="171"/>
      <c r="L575" s="225"/>
      <c r="M575" s="225"/>
      <c r="N575" s="230"/>
      <c r="O575" s="228"/>
      <c r="P575" s="231"/>
      <c r="Q575" s="228"/>
      <c r="R575" s="231"/>
      <c r="S575" s="229"/>
      <c r="T575" s="229"/>
      <c r="U575" s="217"/>
      <c r="V575" s="217"/>
      <c r="W575" s="218"/>
      <c r="X575" s="220"/>
    </row>
    <row r="576" spans="1:24" s="75" customFormat="1" ht="25.65" customHeight="1">
      <c r="A576" s="218"/>
      <c r="B576" s="221"/>
      <c r="C576" s="222"/>
      <c r="D576" s="223"/>
      <c r="E576" s="223"/>
      <c r="F576" s="223"/>
      <c r="G576" s="224"/>
      <c r="H576" s="209"/>
      <c r="I576" s="209"/>
      <c r="J576" s="209"/>
      <c r="K576" s="171"/>
      <c r="L576" s="225"/>
      <c r="M576" s="225"/>
      <c r="N576" s="230"/>
      <c r="O576" s="228"/>
      <c r="P576" s="231"/>
      <c r="Q576" s="228"/>
      <c r="R576" s="231"/>
      <c r="S576" s="229"/>
      <c r="T576" s="229"/>
      <c r="U576" s="217"/>
      <c r="V576" s="217"/>
      <c r="W576" s="218"/>
      <c r="X576" s="220"/>
    </row>
    <row r="577" spans="1:24" s="75" customFormat="1" ht="25.65" customHeight="1">
      <c r="A577" s="218"/>
      <c r="B577" s="221"/>
      <c r="C577" s="222"/>
      <c r="D577" s="223"/>
      <c r="E577" s="223"/>
      <c r="F577" s="223"/>
      <c r="G577" s="224"/>
      <c r="H577" s="209"/>
      <c r="I577" s="209"/>
      <c r="J577" s="209"/>
      <c r="K577" s="171"/>
      <c r="L577" s="225"/>
      <c r="M577" s="225"/>
      <c r="N577" s="230"/>
      <c r="O577" s="228"/>
      <c r="P577" s="231"/>
      <c r="Q577" s="228"/>
      <c r="R577" s="231"/>
      <c r="S577" s="229"/>
      <c r="T577" s="229"/>
      <c r="U577" s="217"/>
      <c r="V577" s="217"/>
      <c r="W577" s="218"/>
      <c r="X577" s="220"/>
    </row>
    <row r="578" spans="1:24" s="75" customFormat="1" ht="25.65" customHeight="1">
      <c r="A578" s="218"/>
      <c r="B578" s="221"/>
      <c r="C578" s="222"/>
      <c r="D578" s="223"/>
      <c r="E578" s="223"/>
      <c r="F578" s="223"/>
      <c r="G578" s="224"/>
      <c r="H578" s="209"/>
      <c r="I578" s="209"/>
      <c r="J578" s="209"/>
      <c r="K578" s="171"/>
      <c r="L578" s="225"/>
      <c r="M578" s="225"/>
      <c r="N578" s="230"/>
      <c r="O578" s="228"/>
      <c r="P578" s="231"/>
      <c r="Q578" s="228"/>
      <c r="R578" s="231"/>
      <c r="S578" s="229"/>
      <c r="T578" s="229"/>
      <c r="U578" s="217"/>
      <c r="V578" s="217"/>
      <c r="W578" s="218"/>
      <c r="X578" s="220"/>
    </row>
    <row r="579" spans="1:24" s="75" customFormat="1" ht="25.65" customHeight="1">
      <c r="A579" s="218"/>
      <c r="B579" s="221"/>
      <c r="C579" s="222"/>
      <c r="D579" s="223"/>
      <c r="E579" s="223"/>
      <c r="F579" s="223"/>
      <c r="G579" s="224"/>
      <c r="H579" s="209"/>
      <c r="I579" s="209"/>
      <c r="J579" s="209"/>
      <c r="K579" s="171"/>
      <c r="L579" s="225"/>
      <c r="M579" s="225"/>
      <c r="N579" s="230"/>
      <c r="O579" s="228"/>
      <c r="P579" s="231"/>
      <c r="Q579" s="228"/>
      <c r="R579" s="231"/>
      <c r="S579" s="229"/>
      <c r="T579" s="229"/>
      <c r="U579" s="217"/>
      <c r="V579" s="217"/>
      <c r="W579" s="218"/>
      <c r="X579" s="220"/>
    </row>
    <row r="580" spans="1:24" s="75" customFormat="1" ht="25.65" customHeight="1">
      <c r="A580" s="218"/>
      <c r="B580" s="221"/>
      <c r="C580" s="222"/>
      <c r="D580" s="223"/>
      <c r="E580" s="223"/>
      <c r="F580" s="223"/>
      <c r="G580" s="224"/>
      <c r="H580" s="209"/>
      <c r="I580" s="209"/>
      <c r="J580" s="209"/>
      <c r="K580" s="171"/>
      <c r="L580" s="225"/>
      <c r="M580" s="225"/>
      <c r="N580" s="230"/>
      <c r="O580" s="228"/>
      <c r="P580" s="231"/>
      <c r="Q580" s="228"/>
      <c r="R580" s="231"/>
      <c r="S580" s="229"/>
      <c r="T580" s="229"/>
      <c r="U580" s="217"/>
      <c r="V580" s="217"/>
      <c r="W580" s="218"/>
      <c r="X580" s="220"/>
    </row>
    <row r="581" spans="1:24" s="75" customFormat="1" ht="25.65" customHeight="1">
      <c r="A581" s="218"/>
      <c r="B581" s="221"/>
      <c r="C581" s="222"/>
      <c r="D581" s="223"/>
      <c r="E581" s="223"/>
      <c r="F581" s="223"/>
      <c r="G581" s="224"/>
      <c r="H581" s="209"/>
      <c r="I581" s="209"/>
      <c r="J581" s="209"/>
      <c r="K581" s="171"/>
      <c r="L581" s="225"/>
      <c r="M581" s="225"/>
      <c r="N581" s="230"/>
      <c r="O581" s="228"/>
      <c r="P581" s="231"/>
      <c r="Q581" s="228"/>
      <c r="R581" s="231"/>
      <c r="S581" s="229"/>
      <c r="T581" s="229"/>
      <c r="U581" s="217"/>
      <c r="V581" s="217"/>
      <c r="W581" s="218"/>
      <c r="X581" s="220"/>
    </row>
    <row r="582" spans="1:24" s="75" customFormat="1" ht="25.65" customHeight="1">
      <c r="A582" s="218"/>
      <c r="B582" s="221"/>
      <c r="C582" s="222"/>
      <c r="D582" s="223"/>
      <c r="E582" s="223"/>
      <c r="F582" s="223"/>
      <c r="G582" s="224"/>
      <c r="H582" s="209"/>
      <c r="I582" s="209"/>
      <c r="J582" s="209"/>
      <c r="K582" s="171"/>
      <c r="L582" s="225"/>
      <c r="M582" s="225"/>
      <c r="N582" s="230"/>
      <c r="O582" s="228"/>
      <c r="P582" s="231"/>
      <c r="Q582" s="228"/>
      <c r="R582" s="231"/>
      <c r="S582" s="229"/>
      <c r="T582" s="229"/>
      <c r="U582" s="217"/>
      <c r="V582" s="217"/>
      <c r="W582" s="218"/>
      <c r="X582" s="220"/>
    </row>
    <row r="583" spans="1:24" s="75" customFormat="1" ht="25.65" customHeight="1">
      <c r="A583" s="218"/>
      <c r="B583" s="221"/>
      <c r="C583" s="222"/>
      <c r="D583" s="223"/>
      <c r="E583" s="223"/>
      <c r="F583" s="223"/>
      <c r="G583" s="224"/>
      <c r="H583" s="209"/>
      <c r="I583" s="209"/>
      <c r="J583" s="209"/>
      <c r="K583" s="171"/>
      <c r="L583" s="225"/>
      <c r="M583" s="225"/>
      <c r="N583" s="230"/>
      <c r="O583" s="228"/>
      <c r="P583" s="231"/>
      <c r="Q583" s="228"/>
      <c r="R583" s="231"/>
      <c r="S583" s="229"/>
      <c r="T583" s="229"/>
      <c r="U583" s="217"/>
      <c r="V583" s="217"/>
      <c r="W583" s="218"/>
      <c r="X583" s="220"/>
    </row>
    <row r="584" spans="1:24" s="75" customFormat="1" ht="25.65" customHeight="1">
      <c r="A584" s="218"/>
      <c r="B584" s="221"/>
      <c r="C584" s="222"/>
      <c r="D584" s="223"/>
      <c r="E584" s="223"/>
      <c r="F584" s="223"/>
      <c r="G584" s="224"/>
      <c r="H584" s="209"/>
      <c r="I584" s="209"/>
      <c r="J584" s="209"/>
      <c r="K584" s="171"/>
      <c r="L584" s="225"/>
      <c r="M584" s="225"/>
      <c r="N584" s="230"/>
      <c r="O584" s="228"/>
      <c r="P584" s="231"/>
      <c r="Q584" s="228"/>
      <c r="R584" s="231"/>
      <c r="S584" s="229"/>
      <c r="T584" s="229"/>
      <c r="U584" s="217"/>
      <c r="V584" s="217"/>
      <c r="W584" s="218"/>
      <c r="X584" s="220"/>
    </row>
    <row r="585" spans="1:24" s="75" customFormat="1" ht="25.65" customHeight="1">
      <c r="A585" s="218"/>
      <c r="B585" s="221"/>
      <c r="C585" s="222"/>
      <c r="D585" s="223"/>
      <c r="E585" s="223"/>
      <c r="F585" s="223"/>
      <c r="G585" s="224"/>
      <c r="H585" s="209"/>
      <c r="I585" s="209"/>
      <c r="J585" s="209"/>
      <c r="K585" s="171"/>
      <c r="L585" s="225"/>
      <c r="M585" s="225"/>
      <c r="N585" s="230"/>
      <c r="O585" s="228"/>
      <c r="P585" s="231"/>
      <c r="Q585" s="228"/>
      <c r="R585" s="231"/>
      <c r="S585" s="229"/>
      <c r="T585" s="229"/>
      <c r="U585" s="217"/>
      <c r="V585" s="217"/>
      <c r="W585" s="218"/>
      <c r="X585" s="220"/>
    </row>
    <row r="586" spans="1:24" s="75" customFormat="1" ht="25.65" customHeight="1">
      <c r="A586" s="218"/>
      <c r="B586" s="221"/>
      <c r="C586" s="222"/>
      <c r="D586" s="223"/>
      <c r="E586" s="223"/>
      <c r="F586" s="223"/>
      <c r="G586" s="224"/>
      <c r="H586" s="209"/>
      <c r="I586" s="209"/>
      <c r="J586" s="209"/>
      <c r="K586" s="171"/>
      <c r="L586" s="225"/>
      <c r="M586" s="225"/>
      <c r="N586" s="230"/>
      <c r="O586" s="228"/>
      <c r="P586" s="231"/>
      <c r="Q586" s="228"/>
      <c r="R586" s="231"/>
      <c r="S586" s="229"/>
      <c r="T586" s="229"/>
      <c r="U586" s="217"/>
      <c r="V586" s="217"/>
      <c r="W586" s="218"/>
      <c r="X586" s="220"/>
    </row>
    <row r="587" spans="1:24" s="75" customFormat="1" ht="25.65" customHeight="1">
      <c r="A587" s="218"/>
      <c r="B587" s="221"/>
      <c r="C587" s="222"/>
      <c r="D587" s="223"/>
      <c r="E587" s="223"/>
      <c r="F587" s="223"/>
      <c r="G587" s="224"/>
      <c r="H587" s="209"/>
      <c r="I587" s="209"/>
      <c r="J587" s="209"/>
      <c r="K587" s="171"/>
      <c r="L587" s="225"/>
      <c r="M587" s="225"/>
      <c r="N587" s="230"/>
      <c r="O587" s="228"/>
      <c r="P587" s="231"/>
      <c r="Q587" s="228"/>
      <c r="R587" s="231"/>
      <c r="S587" s="229"/>
      <c r="T587" s="229"/>
      <c r="U587" s="217"/>
      <c r="V587" s="217"/>
      <c r="W587" s="218"/>
      <c r="X587" s="220"/>
    </row>
    <row r="588" spans="1:24" s="75" customFormat="1" ht="25.65" customHeight="1">
      <c r="A588" s="218"/>
      <c r="B588" s="221"/>
      <c r="C588" s="222"/>
      <c r="D588" s="223"/>
      <c r="E588" s="223"/>
      <c r="F588" s="223"/>
      <c r="G588" s="224"/>
      <c r="H588" s="209"/>
      <c r="I588" s="209"/>
      <c r="J588" s="209"/>
      <c r="K588" s="171"/>
      <c r="L588" s="225"/>
      <c r="M588" s="225"/>
      <c r="N588" s="230"/>
      <c r="O588" s="228"/>
      <c r="P588" s="231"/>
      <c r="Q588" s="228"/>
      <c r="R588" s="231"/>
      <c r="S588" s="229"/>
      <c r="T588" s="229"/>
      <c r="U588" s="217"/>
      <c r="V588" s="217"/>
      <c r="W588" s="218"/>
      <c r="X588" s="220"/>
    </row>
    <row r="589" spans="1:24" s="75" customFormat="1" ht="25.65" customHeight="1">
      <c r="A589" s="218"/>
      <c r="B589" s="221"/>
      <c r="C589" s="222"/>
      <c r="D589" s="223"/>
      <c r="E589" s="223"/>
      <c r="F589" s="223"/>
      <c r="G589" s="224"/>
      <c r="H589" s="209"/>
      <c r="I589" s="209"/>
      <c r="J589" s="209"/>
      <c r="K589" s="171"/>
      <c r="L589" s="225"/>
      <c r="M589" s="225"/>
      <c r="N589" s="230"/>
      <c r="O589" s="228"/>
      <c r="P589" s="231"/>
      <c r="Q589" s="228"/>
      <c r="R589" s="231"/>
      <c r="S589" s="229"/>
      <c r="T589" s="229"/>
      <c r="U589" s="217"/>
      <c r="V589" s="217"/>
      <c r="W589" s="218"/>
      <c r="X589" s="220"/>
    </row>
    <row r="590" spans="1:24" s="75" customFormat="1" ht="25.65" customHeight="1">
      <c r="A590" s="218"/>
      <c r="B590" s="221"/>
      <c r="C590" s="222"/>
      <c r="D590" s="223"/>
      <c r="E590" s="223"/>
      <c r="F590" s="223"/>
      <c r="G590" s="224"/>
      <c r="H590" s="209"/>
      <c r="I590" s="209"/>
      <c r="J590" s="209"/>
      <c r="K590" s="171"/>
      <c r="L590" s="225"/>
      <c r="M590" s="225"/>
      <c r="N590" s="230"/>
      <c r="O590" s="228"/>
      <c r="P590" s="231"/>
      <c r="Q590" s="228"/>
      <c r="R590" s="231"/>
      <c r="S590" s="229"/>
      <c r="T590" s="229"/>
      <c r="U590" s="217"/>
      <c r="V590" s="217"/>
      <c r="W590" s="218"/>
      <c r="X590" s="220"/>
    </row>
    <row r="591" spans="1:24" s="75" customFormat="1" ht="25.65" customHeight="1">
      <c r="A591" s="218"/>
      <c r="B591" s="221"/>
      <c r="C591" s="222"/>
      <c r="D591" s="223"/>
      <c r="E591" s="223"/>
      <c r="F591" s="223"/>
      <c r="G591" s="224"/>
      <c r="H591" s="209"/>
      <c r="I591" s="209"/>
      <c r="J591" s="209"/>
      <c r="K591" s="171"/>
      <c r="L591" s="225"/>
      <c r="M591" s="225"/>
      <c r="N591" s="230"/>
      <c r="O591" s="228"/>
      <c r="P591" s="231"/>
      <c r="Q591" s="228"/>
      <c r="R591" s="231"/>
      <c r="S591" s="229"/>
      <c r="T591" s="229"/>
      <c r="U591" s="217"/>
      <c r="V591" s="217"/>
      <c r="W591" s="218"/>
      <c r="X591" s="220"/>
    </row>
    <row r="592" spans="1:24" s="75" customFormat="1" ht="25.65" customHeight="1">
      <c r="A592" s="218"/>
      <c r="B592" s="221"/>
      <c r="C592" s="222"/>
      <c r="D592" s="223"/>
      <c r="E592" s="223"/>
      <c r="F592" s="223"/>
      <c r="G592" s="224"/>
      <c r="H592" s="209"/>
      <c r="I592" s="209"/>
      <c r="J592" s="209"/>
      <c r="K592" s="171"/>
      <c r="L592" s="225"/>
      <c r="M592" s="225"/>
      <c r="N592" s="230"/>
      <c r="O592" s="228"/>
      <c r="P592" s="231"/>
      <c r="Q592" s="228"/>
      <c r="R592" s="231"/>
      <c r="S592" s="229"/>
      <c r="T592" s="229"/>
      <c r="U592" s="217"/>
      <c r="V592" s="217"/>
      <c r="W592" s="218"/>
      <c r="X592" s="220"/>
    </row>
    <row r="593" spans="1:24" s="75" customFormat="1" ht="25.65" customHeight="1">
      <c r="A593" s="218"/>
      <c r="B593" s="221"/>
      <c r="C593" s="222"/>
      <c r="D593" s="223"/>
      <c r="E593" s="223"/>
      <c r="F593" s="223"/>
      <c r="G593" s="224"/>
      <c r="H593" s="209"/>
      <c r="I593" s="209"/>
      <c r="J593" s="209"/>
      <c r="K593" s="171"/>
      <c r="L593" s="225"/>
      <c r="M593" s="225"/>
      <c r="N593" s="230"/>
      <c r="O593" s="228"/>
      <c r="P593" s="231"/>
      <c r="Q593" s="228"/>
      <c r="R593" s="231"/>
      <c r="S593" s="229"/>
      <c r="T593" s="229"/>
      <c r="U593" s="217"/>
      <c r="V593" s="217"/>
      <c r="W593" s="218"/>
      <c r="X593" s="220"/>
    </row>
    <row r="594" spans="1:24" s="75" customFormat="1" ht="25.65" customHeight="1">
      <c r="A594" s="218"/>
      <c r="B594" s="221"/>
      <c r="C594" s="222"/>
      <c r="D594" s="223"/>
      <c r="E594" s="223"/>
      <c r="F594" s="223"/>
      <c r="G594" s="224"/>
      <c r="H594" s="209"/>
      <c r="I594" s="209"/>
      <c r="J594" s="209"/>
      <c r="K594" s="171"/>
      <c r="L594" s="225"/>
      <c r="M594" s="225"/>
      <c r="N594" s="230"/>
      <c r="O594" s="228"/>
      <c r="P594" s="231"/>
      <c r="Q594" s="228"/>
      <c r="R594" s="231"/>
      <c r="S594" s="229"/>
      <c r="T594" s="229"/>
      <c r="U594" s="217"/>
      <c r="V594" s="217"/>
      <c r="W594" s="218"/>
      <c r="X594" s="220"/>
    </row>
    <row r="595" spans="1:24" s="75" customFormat="1" ht="25.65" customHeight="1">
      <c r="A595" s="218"/>
      <c r="B595" s="221"/>
      <c r="C595" s="222"/>
      <c r="D595" s="223"/>
      <c r="E595" s="223"/>
      <c r="F595" s="223"/>
      <c r="G595" s="224"/>
      <c r="H595" s="209"/>
      <c r="I595" s="209"/>
      <c r="J595" s="209"/>
      <c r="K595" s="171"/>
      <c r="L595" s="225"/>
      <c r="M595" s="225"/>
      <c r="N595" s="230"/>
      <c r="O595" s="228"/>
      <c r="P595" s="231"/>
      <c r="Q595" s="228"/>
      <c r="R595" s="231"/>
      <c r="S595" s="229"/>
      <c r="T595" s="229"/>
      <c r="U595" s="217"/>
      <c r="V595" s="217"/>
      <c r="W595" s="218"/>
      <c r="X595" s="220"/>
    </row>
    <row r="596" spans="1:24" s="75" customFormat="1" ht="25.65" customHeight="1">
      <c r="A596" s="218"/>
      <c r="B596" s="221"/>
      <c r="C596" s="222"/>
      <c r="D596" s="223"/>
      <c r="E596" s="223"/>
      <c r="F596" s="223"/>
      <c r="G596" s="224"/>
      <c r="H596" s="209"/>
      <c r="I596" s="209"/>
      <c r="J596" s="209"/>
      <c r="K596" s="171"/>
      <c r="L596" s="225"/>
      <c r="M596" s="225"/>
      <c r="N596" s="230"/>
      <c r="O596" s="228"/>
      <c r="P596" s="231"/>
      <c r="Q596" s="228"/>
      <c r="R596" s="231"/>
      <c r="S596" s="229"/>
      <c r="T596" s="229"/>
      <c r="U596" s="217"/>
      <c r="V596" s="217"/>
      <c r="W596" s="218"/>
      <c r="X596" s="220"/>
    </row>
    <row r="597" spans="1:24" s="75" customFormat="1" ht="25.65" customHeight="1">
      <c r="A597" s="218"/>
      <c r="B597" s="221"/>
      <c r="C597" s="222"/>
      <c r="D597" s="223"/>
      <c r="E597" s="223"/>
      <c r="F597" s="223"/>
      <c r="G597" s="224"/>
      <c r="H597" s="209"/>
      <c r="I597" s="209"/>
      <c r="J597" s="209"/>
      <c r="K597" s="171"/>
      <c r="L597" s="225"/>
      <c r="M597" s="225"/>
      <c r="N597" s="230"/>
      <c r="O597" s="228"/>
      <c r="P597" s="231"/>
      <c r="Q597" s="228"/>
      <c r="R597" s="231"/>
      <c r="S597" s="229"/>
      <c r="T597" s="229"/>
      <c r="U597" s="217"/>
      <c r="V597" s="217"/>
      <c r="W597" s="218"/>
      <c r="X597" s="220"/>
    </row>
    <row r="598" spans="1:24" s="75" customFormat="1" ht="25.65" customHeight="1">
      <c r="A598" s="218"/>
      <c r="B598" s="221"/>
      <c r="C598" s="222"/>
      <c r="D598" s="223"/>
      <c r="E598" s="223"/>
      <c r="F598" s="223"/>
      <c r="G598" s="224"/>
      <c r="H598" s="209"/>
      <c r="I598" s="209"/>
      <c r="J598" s="209"/>
      <c r="K598" s="171"/>
      <c r="L598" s="225"/>
      <c r="M598" s="225"/>
      <c r="N598" s="230"/>
      <c r="O598" s="228"/>
      <c r="P598" s="231"/>
      <c r="Q598" s="228"/>
      <c r="R598" s="231"/>
      <c r="S598" s="229"/>
      <c r="T598" s="229"/>
      <c r="U598" s="217"/>
      <c r="V598" s="217"/>
      <c r="W598" s="218"/>
      <c r="X598" s="220"/>
    </row>
    <row r="599" spans="1:24" s="75" customFormat="1" ht="25.65" customHeight="1">
      <c r="A599" s="218"/>
      <c r="B599" s="221"/>
      <c r="C599" s="222"/>
      <c r="D599" s="223"/>
      <c r="E599" s="223"/>
      <c r="F599" s="223"/>
      <c r="G599" s="224"/>
      <c r="H599" s="209"/>
      <c r="I599" s="209"/>
      <c r="J599" s="209"/>
      <c r="K599" s="171"/>
      <c r="L599" s="225"/>
      <c r="M599" s="225"/>
      <c r="N599" s="230"/>
      <c r="O599" s="228"/>
      <c r="P599" s="231"/>
      <c r="Q599" s="228"/>
      <c r="R599" s="231"/>
      <c r="S599" s="229"/>
      <c r="T599" s="229"/>
      <c r="U599" s="217"/>
      <c r="V599" s="217"/>
      <c r="W599" s="218"/>
      <c r="X599" s="220"/>
    </row>
    <row r="600" spans="1:24" s="75" customFormat="1" ht="25.65" customHeight="1">
      <c r="A600" s="218"/>
      <c r="B600" s="221"/>
      <c r="C600" s="222"/>
      <c r="D600" s="223"/>
      <c r="E600" s="223"/>
      <c r="F600" s="223"/>
      <c r="G600" s="224"/>
      <c r="H600" s="209"/>
      <c r="I600" s="209"/>
      <c r="J600" s="209"/>
      <c r="K600" s="171"/>
      <c r="L600" s="225"/>
      <c r="M600" s="225"/>
      <c r="N600" s="230"/>
      <c r="O600" s="228"/>
      <c r="P600" s="231"/>
      <c r="Q600" s="228"/>
      <c r="R600" s="231"/>
      <c r="S600" s="229"/>
      <c r="T600" s="229"/>
      <c r="U600" s="217"/>
      <c r="V600" s="217"/>
      <c r="W600" s="218"/>
      <c r="X600" s="220"/>
    </row>
    <row r="601" spans="1:24" s="75" customFormat="1" ht="25.65" customHeight="1">
      <c r="A601" s="218"/>
      <c r="B601" s="221"/>
      <c r="C601" s="222"/>
      <c r="D601" s="223"/>
      <c r="E601" s="223"/>
      <c r="F601" s="223"/>
      <c r="G601" s="224"/>
      <c r="H601" s="209"/>
      <c r="I601" s="209"/>
      <c r="J601" s="209"/>
      <c r="K601" s="171"/>
      <c r="L601" s="225"/>
      <c r="M601" s="225"/>
      <c r="N601" s="230"/>
      <c r="O601" s="228"/>
      <c r="P601" s="231"/>
      <c r="Q601" s="228"/>
      <c r="R601" s="231"/>
      <c r="S601" s="229"/>
      <c r="T601" s="229"/>
      <c r="U601" s="217"/>
      <c r="V601" s="217"/>
      <c r="W601" s="218"/>
      <c r="X601" s="220"/>
    </row>
    <row r="602" spans="1:24" s="75" customFormat="1" ht="25.65" customHeight="1">
      <c r="A602" s="218"/>
      <c r="B602" s="221"/>
      <c r="C602" s="222"/>
      <c r="D602" s="223"/>
      <c r="E602" s="223"/>
      <c r="F602" s="223"/>
      <c r="G602" s="224"/>
      <c r="H602" s="209"/>
      <c r="I602" s="209"/>
      <c r="J602" s="209"/>
      <c r="K602" s="171"/>
      <c r="L602" s="225"/>
      <c r="M602" s="225"/>
      <c r="N602" s="230"/>
      <c r="O602" s="228"/>
      <c r="P602" s="231"/>
      <c r="Q602" s="228"/>
      <c r="R602" s="231"/>
      <c r="S602" s="229"/>
      <c r="T602" s="229"/>
      <c r="U602" s="217"/>
      <c r="V602" s="217"/>
      <c r="W602" s="218"/>
      <c r="X602" s="220"/>
    </row>
    <row r="603" spans="1:24" s="75" customFormat="1" ht="25.65" customHeight="1">
      <c r="A603" s="218"/>
      <c r="B603" s="221"/>
      <c r="C603" s="222"/>
      <c r="D603" s="223"/>
      <c r="E603" s="223"/>
      <c r="F603" s="223"/>
      <c r="G603" s="224"/>
      <c r="H603" s="209"/>
      <c r="I603" s="209"/>
      <c r="J603" s="209"/>
      <c r="K603" s="171"/>
      <c r="L603" s="225"/>
      <c r="M603" s="225"/>
      <c r="N603" s="230"/>
      <c r="O603" s="228"/>
      <c r="P603" s="231"/>
      <c r="Q603" s="228"/>
      <c r="R603" s="231"/>
      <c r="S603" s="229"/>
      <c r="T603" s="229"/>
      <c r="U603" s="217"/>
      <c r="V603" s="217"/>
      <c r="W603" s="218"/>
      <c r="X603" s="220"/>
    </row>
    <row r="604" spans="1:24" s="75" customFormat="1" ht="25.65" customHeight="1">
      <c r="A604" s="218"/>
      <c r="B604" s="221"/>
      <c r="C604" s="222"/>
      <c r="D604" s="223"/>
      <c r="E604" s="223"/>
      <c r="F604" s="223"/>
      <c r="G604" s="224"/>
      <c r="H604" s="209"/>
      <c r="I604" s="209"/>
      <c r="J604" s="209"/>
      <c r="K604" s="171"/>
      <c r="L604" s="225"/>
      <c r="M604" s="225"/>
      <c r="N604" s="230"/>
      <c r="O604" s="228"/>
      <c r="P604" s="231"/>
      <c r="Q604" s="228"/>
      <c r="R604" s="231"/>
      <c r="S604" s="229"/>
      <c r="T604" s="229"/>
      <c r="U604" s="217"/>
      <c r="V604" s="217"/>
      <c r="W604" s="218"/>
      <c r="X604" s="220"/>
    </row>
    <row r="605" spans="1:24" s="75" customFormat="1" ht="25.65" customHeight="1">
      <c r="A605" s="218"/>
      <c r="B605" s="221"/>
      <c r="C605" s="222"/>
      <c r="D605" s="223"/>
      <c r="E605" s="223"/>
      <c r="F605" s="223"/>
      <c r="G605" s="224"/>
      <c r="H605" s="209"/>
      <c r="I605" s="209"/>
      <c r="J605" s="209"/>
      <c r="K605" s="171"/>
      <c r="L605" s="225"/>
      <c r="M605" s="225"/>
      <c r="N605" s="230"/>
      <c r="O605" s="228"/>
      <c r="P605" s="231"/>
      <c r="Q605" s="228"/>
      <c r="R605" s="231"/>
      <c r="S605" s="229"/>
      <c r="T605" s="229"/>
      <c r="U605" s="217"/>
      <c r="V605" s="217"/>
      <c r="W605" s="218"/>
      <c r="X605" s="220"/>
    </row>
    <row r="606" spans="1:24" s="75" customFormat="1" ht="25.65" customHeight="1">
      <c r="A606" s="218"/>
      <c r="B606" s="221"/>
      <c r="C606" s="222"/>
      <c r="D606" s="223"/>
      <c r="E606" s="223"/>
      <c r="F606" s="223"/>
      <c r="G606" s="224"/>
      <c r="H606" s="209"/>
      <c r="I606" s="209"/>
      <c r="J606" s="209"/>
      <c r="K606" s="171"/>
      <c r="L606" s="225"/>
      <c r="M606" s="225"/>
      <c r="N606" s="230"/>
      <c r="O606" s="228"/>
      <c r="P606" s="231"/>
      <c r="Q606" s="228"/>
      <c r="R606" s="231"/>
      <c r="S606" s="229"/>
      <c r="T606" s="229"/>
      <c r="U606" s="217"/>
      <c r="V606" s="217"/>
      <c r="W606" s="218"/>
      <c r="X606" s="220"/>
    </row>
    <row r="607" spans="1:24" s="75" customFormat="1" ht="25.65" customHeight="1">
      <c r="A607" s="218"/>
      <c r="B607" s="221"/>
      <c r="C607" s="222"/>
      <c r="D607" s="223"/>
      <c r="E607" s="223"/>
      <c r="F607" s="223"/>
      <c r="G607" s="224"/>
      <c r="H607" s="209"/>
      <c r="I607" s="209"/>
      <c r="J607" s="209"/>
      <c r="K607" s="171"/>
      <c r="L607" s="225"/>
      <c r="M607" s="225"/>
      <c r="N607" s="230"/>
      <c r="O607" s="228"/>
      <c r="P607" s="231"/>
      <c r="Q607" s="228"/>
      <c r="R607" s="231"/>
      <c r="S607" s="229"/>
      <c r="T607" s="229"/>
      <c r="U607" s="217"/>
      <c r="V607" s="217"/>
      <c r="W607" s="218"/>
      <c r="X607" s="220"/>
    </row>
    <row r="608" spans="1:24" s="75" customFormat="1" ht="25.65" customHeight="1">
      <c r="A608" s="218"/>
      <c r="B608" s="221"/>
      <c r="C608" s="222"/>
      <c r="D608" s="223"/>
      <c r="E608" s="223"/>
      <c r="F608" s="223"/>
      <c r="G608" s="224"/>
      <c r="H608" s="209"/>
      <c r="I608" s="209"/>
      <c r="J608" s="209"/>
      <c r="K608" s="171"/>
      <c r="L608" s="225"/>
      <c r="M608" s="225"/>
      <c r="N608" s="230"/>
      <c r="O608" s="228"/>
      <c r="P608" s="231"/>
      <c r="Q608" s="228"/>
      <c r="R608" s="231"/>
      <c r="S608" s="229"/>
      <c r="T608" s="229"/>
      <c r="U608" s="217"/>
      <c r="V608" s="217"/>
      <c r="W608" s="218"/>
      <c r="X608" s="220"/>
    </row>
    <row r="609" spans="1:24" s="75" customFormat="1" ht="25.65" customHeight="1">
      <c r="A609" s="218"/>
      <c r="B609" s="221"/>
      <c r="C609" s="222"/>
      <c r="D609" s="223"/>
      <c r="E609" s="223"/>
      <c r="F609" s="223"/>
      <c r="G609" s="224"/>
      <c r="H609" s="209"/>
      <c r="I609" s="209"/>
      <c r="J609" s="209"/>
      <c r="K609" s="171"/>
      <c r="L609" s="225"/>
      <c r="M609" s="225"/>
      <c r="N609" s="230"/>
      <c r="O609" s="228"/>
      <c r="P609" s="231"/>
      <c r="Q609" s="228"/>
      <c r="R609" s="231"/>
      <c r="S609" s="229"/>
      <c r="T609" s="229"/>
      <c r="U609" s="217"/>
      <c r="V609" s="217"/>
      <c r="W609" s="218"/>
      <c r="X609" s="220"/>
    </row>
    <row r="610" spans="1:24" s="75" customFormat="1" ht="25.65" customHeight="1">
      <c r="A610" s="218"/>
      <c r="B610" s="221"/>
      <c r="C610" s="222"/>
      <c r="D610" s="223"/>
      <c r="E610" s="223"/>
      <c r="F610" s="223"/>
      <c r="G610" s="224"/>
      <c r="H610" s="209"/>
      <c r="I610" s="209"/>
      <c r="J610" s="209"/>
      <c r="K610" s="171"/>
      <c r="L610" s="225"/>
      <c r="M610" s="225"/>
      <c r="N610" s="230"/>
      <c r="O610" s="228"/>
      <c r="P610" s="231"/>
      <c r="Q610" s="228"/>
      <c r="R610" s="231"/>
      <c r="S610" s="229"/>
      <c r="T610" s="229"/>
      <c r="U610" s="217"/>
      <c r="V610" s="217"/>
      <c r="W610" s="218"/>
      <c r="X610" s="220"/>
    </row>
    <row r="611" spans="1:24" s="75" customFormat="1" ht="25.65" customHeight="1">
      <c r="A611" s="218"/>
      <c r="B611" s="221"/>
      <c r="C611" s="222"/>
      <c r="D611" s="223"/>
      <c r="E611" s="223"/>
      <c r="F611" s="223"/>
      <c r="G611" s="224"/>
      <c r="H611" s="209"/>
      <c r="I611" s="209"/>
      <c r="J611" s="209"/>
      <c r="K611" s="171"/>
      <c r="L611" s="225"/>
      <c r="M611" s="225"/>
      <c r="N611" s="230"/>
      <c r="O611" s="228"/>
      <c r="P611" s="231"/>
      <c r="Q611" s="228"/>
      <c r="R611" s="231"/>
      <c r="S611" s="229"/>
      <c r="T611" s="229"/>
      <c r="U611" s="217"/>
      <c r="V611" s="217"/>
      <c r="W611" s="218"/>
      <c r="X611" s="220"/>
    </row>
    <row r="612" spans="1:24" s="75" customFormat="1" ht="25.65" customHeight="1">
      <c r="A612" s="218"/>
      <c r="B612" s="221"/>
      <c r="C612" s="222"/>
      <c r="D612" s="223"/>
      <c r="E612" s="223"/>
      <c r="F612" s="223"/>
      <c r="G612" s="224"/>
      <c r="H612" s="209"/>
      <c r="I612" s="209"/>
      <c r="J612" s="209"/>
      <c r="K612" s="171"/>
      <c r="L612" s="225"/>
      <c r="M612" s="225"/>
      <c r="N612" s="230"/>
      <c r="O612" s="228"/>
      <c r="P612" s="231"/>
      <c r="Q612" s="228"/>
      <c r="R612" s="231"/>
      <c r="S612" s="229"/>
      <c r="T612" s="229"/>
      <c r="U612" s="217"/>
      <c r="V612" s="217"/>
      <c r="W612" s="218"/>
      <c r="X612" s="220"/>
    </row>
    <row r="613" spans="1:24" s="75" customFormat="1" ht="25.65" customHeight="1">
      <c r="A613" s="218"/>
      <c r="B613" s="221"/>
      <c r="C613" s="222"/>
      <c r="D613" s="223"/>
      <c r="E613" s="223"/>
      <c r="F613" s="223"/>
      <c r="G613" s="224"/>
      <c r="H613" s="209"/>
      <c r="I613" s="209"/>
      <c r="J613" s="209"/>
      <c r="K613" s="171"/>
      <c r="L613" s="225"/>
      <c r="M613" s="225"/>
      <c r="N613" s="230"/>
      <c r="O613" s="228"/>
      <c r="P613" s="231"/>
      <c r="Q613" s="228"/>
      <c r="R613" s="231"/>
      <c r="S613" s="229"/>
      <c r="T613" s="229"/>
      <c r="U613" s="217"/>
      <c r="V613" s="217"/>
      <c r="W613" s="218"/>
      <c r="X613" s="220"/>
    </row>
    <row r="614" spans="1:24" s="75" customFormat="1" ht="25.65" customHeight="1">
      <c r="A614" s="218"/>
      <c r="B614" s="221"/>
      <c r="C614" s="222"/>
      <c r="D614" s="223"/>
      <c r="E614" s="223"/>
      <c r="F614" s="223"/>
      <c r="G614" s="224"/>
      <c r="H614" s="209"/>
      <c r="I614" s="209"/>
      <c r="J614" s="209"/>
      <c r="K614" s="171"/>
      <c r="L614" s="225"/>
      <c r="M614" s="225"/>
      <c r="N614" s="230"/>
      <c r="O614" s="228"/>
      <c r="P614" s="231"/>
      <c r="Q614" s="228"/>
      <c r="R614" s="231"/>
      <c r="S614" s="229"/>
      <c r="T614" s="229"/>
      <c r="U614" s="217"/>
      <c r="V614" s="217"/>
      <c r="W614" s="218"/>
      <c r="X614" s="220"/>
    </row>
    <row r="615" spans="1:24" s="75" customFormat="1" ht="25.65" customHeight="1">
      <c r="A615" s="218"/>
      <c r="B615" s="221"/>
      <c r="C615" s="222"/>
      <c r="D615" s="223"/>
      <c r="E615" s="223"/>
      <c r="F615" s="223"/>
      <c r="G615" s="224"/>
      <c r="H615" s="209"/>
      <c r="I615" s="209"/>
      <c r="J615" s="209"/>
      <c r="K615" s="171"/>
      <c r="L615" s="225"/>
      <c r="M615" s="225"/>
      <c r="N615" s="230"/>
      <c r="O615" s="228"/>
      <c r="P615" s="231"/>
      <c r="Q615" s="228"/>
      <c r="R615" s="231"/>
      <c r="S615" s="229"/>
      <c r="T615" s="229"/>
      <c r="U615" s="217"/>
      <c r="V615" s="217"/>
      <c r="W615" s="218"/>
      <c r="X615" s="220"/>
    </row>
    <row r="616" spans="1:24" s="75" customFormat="1" ht="25.65" customHeight="1">
      <c r="A616" s="218"/>
      <c r="B616" s="221"/>
      <c r="C616" s="222"/>
      <c r="D616" s="223"/>
      <c r="E616" s="223"/>
      <c r="F616" s="223"/>
      <c r="G616" s="224"/>
      <c r="H616" s="209"/>
      <c r="I616" s="209"/>
      <c r="J616" s="209"/>
      <c r="K616" s="171"/>
      <c r="L616" s="225"/>
      <c r="M616" s="225"/>
      <c r="N616" s="230"/>
      <c r="O616" s="228"/>
      <c r="P616" s="231"/>
      <c r="Q616" s="228"/>
      <c r="R616" s="231"/>
      <c r="S616" s="229"/>
      <c r="T616" s="229"/>
      <c r="U616" s="217"/>
      <c r="V616" s="217"/>
      <c r="W616" s="218"/>
      <c r="X616" s="220"/>
    </row>
    <row r="617" spans="1:24" s="75" customFormat="1" ht="25.65" customHeight="1">
      <c r="A617" s="218"/>
      <c r="B617" s="221"/>
      <c r="C617" s="222"/>
      <c r="D617" s="223"/>
      <c r="E617" s="223"/>
      <c r="F617" s="223"/>
      <c r="G617" s="224"/>
      <c r="H617" s="209"/>
      <c r="I617" s="209"/>
      <c r="J617" s="209"/>
      <c r="K617" s="171"/>
      <c r="L617" s="225"/>
      <c r="M617" s="225"/>
      <c r="N617" s="230"/>
      <c r="O617" s="228"/>
      <c r="P617" s="231"/>
      <c r="Q617" s="228"/>
      <c r="R617" s="231"/>
      <c r="S617" s="229"/>
      <c r="T617" s="229"/>
      <c r="U617" s="217"/>
      <c r="V617" s="217"/>
      <c r="W617" s="218"/>
      <c r="X617" s="220"/>
    </row>
    <row r="618" spans="1:24" s="75" customFormat="1" ht="25.65" customHeight="1">
      <c r="A618" s="218"/>
      <c r="B618" s="221"/>
      <c r="C618" s="222"/>
      <c r="D618" s="223"/>
      <c r="E618" s="223"/>
      <c r="F618" s="223"/>
      <c r="G618" s="224"/>
      <c r="H618" s="209"/>
      <c r="I618" s="209"/>
      <c r="J618" s="209"/>
      <c r="K618" s="171"/>
      <c r="L618" s="225"/>
      <c r="M618" s="225"/>
      <c r="N618" s="230"/>
      <c r="O618" s="228"/>
      <c r="P618" s="231"/>
      <c r="Q618" s="228"/>
      <c r="R618" s="231"/>
      <c r="S618" s="229"/>
      <c r="T618" s="229"/>
      <c r="U618" s="217"/>
      <c r="V618" s="217"/>
      <c r="W618" s="218"/>
      <c r="X618" s="220"/>
    </row>
    <row r="619" spans="1:24" s="75" customFormat="1" ht="25.65" customHeight="1">
      <c r="A619" s="218"/>
      <c r="B619" s="221"/>
      <c r="C619" s="222"/>
      <c r="D619" s="223"/>
      <c r="E619" s="223"/>
      <c r="F619" s="223"/>
      <c r="G619" s="224"/>
      <c r="H619" s="209"/>
      <c r="I619" s="209"/>
      <c r="J619" s="209"/>
      <c r="K619" s="171"/>
      <c r="L619" s="225"/>
      <c r="M619" s="225"/>
      <c r="N619" s="230"/>
      <c r="O619" s="228"/>
      <c r="P619" s="231"/>
      <c r="Q619" s="228"/>
      <c r="R619" s="231"/>
      <c r="S619" s="229"/>
      <c r="T619" s="229"/>
      <c r="U619" s="217"/>
      <c r="V619" s="217"/>
      <c r="W619" s="218"/>
      <c r="X619" s="220"/>
    </row>
    <row r="620" spans="1:24" s="75" customFormat="1" ht="25.65" customHeight="1">
      <c r="A620" s="218"/>
      <c r="B620" s="221"/>
      <c r="C620" s="222"/>
      <c r="D620" s="223"/>
      <c r="E620" s="223"/>
      <c r="F620" s="223"/>
      <c r="G620" s="224"/>
      <c r="H620" s="209"/>
      <c r="I620" s="209"/>
      <c r="J620" s="209"/>
      <c r="K620" s="171"/>
      <c r="L620" s="225"/>
      <c r="M620" s="225"/>
      <c r="N620" s="230"/>
      <c r="O620" s="228"/>
      <c r="P620" s="231"/>
      <c r="Q620" s="228"/>
      <c r="R620" s="231"/>
      <c r="S620" s="229"/>
      <c r="T620" s="229"/>
      <c r="U620" s="217"/>
      <c r="V620" s="217"/>
      <c r="W620" s="218"/>
      <c r="X620" s="220"/>
    </row>
    <row r="621" spans="1:24" s="75" customFormat="1" ht="25.65" customHeight="1">
      <c r="A621" s="218"/>
      <c r="B621" s="221"/>
      <c r="C621" s="222"/>
      <c r="D621" s="223"/>
      <c r="E621" s="223"/>
      <c r="F621" s="223"/>
      <c r="G621" s="224"/>
      <c r="H621" s="209"/>
      <c r="I621" s="209"/>
      <c r="J621" s="209"/>
      <c r="K621" s="171"/>
      <c r="L621" s="225"/>
      <c r="M621" s="225"/>
      <c r="N621" s="230"/>
      <c r="O621" s="228"/>
      <c r="P621" s="231"/>
      <c r="Q621" s="228"/>
      <c r="R621" s="231"/>
      <c r="S621" s="229"/>
      <c r="T621" s="229"/>
      <c r="U621" s="217"/>
      <c r="V621" s="217"/>
      <c r="W621" s="218"/>
      <c r="X621" s="220"/>
    </row>
    <row r="622" spans="1:24" s="75" customFormat="1" ht="25.65" customHeight="1">
      <c r="A622" s="218"/>
      <c r="B622" s="221"/>
      <c r="C622" s="222"/>
      <c r="D622" s="223"/>
      <c r="E622" s="223"/>
      <c r="F622" s="223"/>
      <c r="G622" s="224"/>
      <c r="H622" s="209"/>
      <c r="I622" s="209"/>
      <c r="J622" s="209"/>
      <c r="K622" s="171"/>
      <c r="L622" s="225"/>
      <c r="M622" s="225"/>
      <c r="N622" s="230"/>
      <c r="O622" s="228"/>
      <c r="P622" s="231"/>
      <c r="Q622" s="228"/>
      <c r="R622" s="231"/>
      <c r="S622" s="229"/>
      <c r="T622" s="229"/>
      <c r="U622" s="217"/>
      <c r="V622" s="217"/>
      <c r="W622" s="218"/>
      <c r="X622" s="220"/>
    </row>
    <row r="623" spans="1:24" s="75" customFormat="1" ht="25.65" customHeight="1">
      <c r="A623" s="218"/>
      <c r="B623" s="221"/>
      <c r="C623" s="222"/>
      <c r="D623" s="223"/>
      <c r="E623" s="223"/>
      <c r="F623" s="223"/>
      <c r="G623" s="224"/>
      <c r="H623" s="209"/>
      <c r="I623" s="209"/>
      <c r="J623" s="209"/>
      <c r="K623" s="171"/>
      <c r="L623" s="225"/>
      <c r="M623" s="225"/>
      <c r="N623" s="230"/>
      <c r="O623" s="228"/>
      <c r="P623" s="231"/>
      <c r="Q623" s="228"/>
      <c r="R623" s="231"/>
      <c r="S623" s="229"/>
      <c r="T623" s="229"/>
      <c r="U623" s="217"/>
      <c r="V623" s="217"/>
      <c r="W623" s="218"/>
      <c r="X623" s="220"/>
    </row>
    <row r="624" spans="1:24" s="75" customFormat="1" ht="25.65" customHeight="1">
      <c r="A624" s="218"/>
      <c r="B624" s="221"/>
      <c r="C624" s="222"/>
      <c r="D624" s="223"/>
      <c r="E624" s="223"/>
      <c r="F624" s="223"/>
      <c r="G624" s="224"/>
      <c r="H624" s="209"/>
      <c r="I624" s="209"/>
      <c r="J624" s="209"/>
      <c r="K624" s="171"/>
      <c r="L624" s="225"/>
      <c r="M624" s="225"/>
      <c r="N624" s="230"/>
      <c r="O624" s="228"/>
      <c r="P624" s="231"/>
      <c r="Q624" s="228"/>
      <c r="R624" s="231"/>
      <c r="S624" s="229"/>
      <c r="T624" s="229"/>
      <c r="U624" s="217"/>
      <c r="V624" s="217"/>
      <c r="W624" s="218"/>
      <c r="X624" s="220"/>
    </row>
    <row r="625" spans="1:24" s="75" customFormat="1" ht="25.65" customHeight="1">
      <c r="A625" s="218"/>
      <c r="B625" s="221"/>
      <c r="C625" s="222"/>
      <c r="D625" s="223"/>
      <c r="E625" s="223"/>
      <c r="F625" s="223"/>
      <c r="G625" s="224"/>
      <c r="H625" s="209"/>
      <c r="I625" s="209"/>
      <c r="J625" s="209"/>
      <c r="K625" s="171"/>
      <c r="L625" s="225"/>
      <c r="M625" s="225"/>
      <c r="N625" s="230"/>
      <c r="O625" s="228"/>
      <c r="P625" s="231"/>
      <c r="Q625" s="228"/>
      <c r="R625" s="231"/>
      <c r="S625" s="229"/>
      <c r="T625" s="229"/>
      <c r="U625" s="217"/>
      <c r="V625" s="217"/>
      <c r="W625" s="218"/>
      <c r="X625" s="220"/>
    </row>
    <row r="626" spans="1:24" s="75" customFormat="1" ht="25.65" customHeight="1">
      <c r="A626" s="218"/>
      <c r="B626" s="221"/>
      <c r="C626" s="222"/>
      <c r="D626" s="223"/>
      <c r="E626" s="223"/>
      <c r="F626" s="223"/>
      <c r="G626" s="224"/>
      <c r="H626" s="209"/>
      <c r="I626" s="209"/>
      <c r="J626" s="209"/>
      <c r="K626" s="171"/>
      <c r="L626" s="225"/>
      <c r="M626" s="225"/>
      <c r="N626" s="230"/>
      <c r="O626" s="228"/>
      <c r="P626" s="231"/>
      <c r="Q626" s="228"/>
      <c r="R626" s="231"/>
      <c r="S626" s="229"/>
      <c r="T626" s="229"/>
      <c r="U626" s="217"/>
      <c r="V626" s="217"/>
      <c r="W626" s="218"/>
      <c r="X626" s="220"/>
    </row>
    <row r="627" spans="1:24" s="75" customFormat="1" ht="25.65" customHeight="1">
      <c r="A627" s="218"/>
      <c r="B627" s="221"/>
      <c r="C627" s="222"/>
      <c r="D627" s="223"/>
      <c r="E627" s="223"/>
      <c r="F627" s="223"/>
      <c r="G627" s="224"/>
      <c r="H627" s="209"/>
      <c r="I627" s="209"/>
      <c r="J627" s="209"/>
      <c r="K627" s="171"/>
      <c r="L627" s="225"/>
      <c r="M627" s="225"/>
      <c r="N627" s="230"/>
      <c r="O627" s="228"/>
      <c r="P627" s="231"/>
      <c r="Q627" s="228"/>
      <c r="R627" s="231"/>
      <c r="S627" s="229"/>
      <c r="T627" s="229"/>
      <c r="U627" s="217"/>
      <c r="V627" s="217"/>
      <c r="W627" s="218"/>
      <c r="X627" s="220"/>
    </row>
    <row r="628" spans="1:24" s="75" customFormat="1" ht="25.65" customHeight="1">
      <c r="A628" s="218"/>
      <c r="B628" s="221"/>
      <c r="C628" s="222"/>
      <c r="D628" s="223"/>
      <c r="E628" s="223"/>
      <c r="F628" s="223"/>
      <c r="G628" s="224"/>
      <c r="H628" s="209"/>
      <c r="I628" s="209"/>
      <c r="J628" s="209"/>
      <c r="K628" s="171"/>
      <c r="L628" s="225"/>
      <c r="M628" s="225"/>
      <c r="N628" s="230"/>
      <c r="O628" s="228"/>
      <c r="P628" s="231"/>
      <c r="Q628" s="228"/>
      <c r="R628" s="231"/>
      <c r="S628" s="229"/>
      <c r="T628" s="229"/>
      <c r="U628" s="217"/>
      <c r="V628" s="217"/>
      <c r="W628" s="218"/>
      <c r="X628" s="220"/>
    </row>
    <row r="629" spans="1:24" s="75" customFormat="1" ht="25.65" customHeight="1">
      <c r="A629" s="218"/>
      <c r="B629" s="221"/>
      <c r="C629" s="222"/>
      <c r="D629" s="223"/>
      <c r="E629" s="223"/>
      <c r="F629" s="223"/>
      <c r="G629" s="224"/>
      <c r="H629" s="209"/>
      <c r="I629" s="209"/>
      <c r="J629" s="209"/>
      <c r="K629" s="171"/>
      <c r="L629" s="225"/>
      <c r="M629" s="225"/>
      <c r="N629" s="230"/>
      <c r="O629" s="228"/>
      <c r="P629" s="231"/>
      <c r="Q629" s="228"/>
      <c r="R629" s="231"/>
      <c r="S629" s="229"/>
      <c r="T629" s="229"/>
      <c r="U629" s="217"/>
      <c r="V629" s="217"/>
      <c r="W629" s="218"/>
      <c r="X629" s="220"/>
    </row>
    <row r="630" spans="1:24" s="75" customFormat="1" ht="25.65" customHeight="1">
      <c r="A630" s="218"/>
      <c r="B630" s="221"/>
      <c r="C630" s="222"/>
      <c r="D630" s="223"/>
      <c r="E630" s="223"/>
      <c r="F630" s="223"/>
      <c r="G630" s="224"/>
      <c r="H630" s="209"/>
      <c r="I630" s="209"/>
      <c r="J630" s="209"/>
      <c r="K630" s="171"/>
      <c r="L630" s="225"/>
      <c r="M630" s="225"/>
      <c r="N630" s="230"/>
      <c r="O630" s="228"/>
      <c r="P630" s="231"/>
      <c r="Q630" s="228"/>
      <c r="R630" s="231"/>
      <c r="S630" s="229"/>
      <c r="T630" s="229"/>
      <c r="U630" s="217"/>
      <c r="V630" s="217"/>
      <c r="W630" s="218"/>
      <c r="X630" s="220"/>
    </row>
    <row r="631" spans="1:24" s="75" customFormat="1" ht="25.65" customHeight="1">
      <c r="A631" s="218"/>
      <c r="B631" s="221"/>
      <c r="C631" s="222"/>
      <c r="D631" s="223"/>
      <c r="E631" s="223"/>
      <c r="F631" s="223"/>
      <c r="G631" s="224"/>
      <c r="H631" s="209"/>
      <c r="I631" s="209"/>
      <c r="J631" s="209"/>
      <c r="K631" s="171"/>
      <c r="L631" s="225"/>
      <c r="M631" s="225"/>
      <c r="N631" s="230"/>
      <c r="O631" s="228"/>
      <c r="P631" s="231"/>
      <c r="Q631" s="228"/>
      <c r="R631" s="231"/>
      <c r="S631" s="229"/>
      <c r="T631" s="229"/>
      <c r="U631" s="217"/>
      <c r="V631" s="217"/>
      <c r="W631" s="218"/>
      <c r="X631" s="220"/>
    </row>
    <row r="632" spans="1:24" s="75" customFormat="1" ht="25.65" customHeight="1">
      <c r="A632" s="218"/>
      <c r="B632" s="221"/>
      <c r="C632" s="222"/>
      <c r="D632" s="223"/>
      <c r="E632" s="223"/>
      <c r="F632" s="223"/>
      <c r="G632" s="224"/>
      <c r="H632" s="209"/>
      <c r="I632" s="209"/>
      <c r="J632" s="209"/>
      <c r="K632" s="171"/>
      <c r="L632" s="225"/>
      <c r="M632" s="225"/>
      <c r="N632" s="230"/>
      <c r="O632" s="228"/>
      <c r="P632" s="231"/>
      <c r="Q632" s="228"/>
      <c r="R632" s="231"/>
      <c r="S632" s="229"/>
      <c r="T632" s="229"/>
      <c r="U632" s="217"/>
      <c r="V632" s="217"/>
      <c r="W632" s="218"/>
      <c r="X632" s="220"/>
    </row>
    <row r="633" spans="1:24" s="75" customFormat="1" ht="25.65" customHeight="1">
      <c r="A633" s="218"/>
      <c r="B633" s="221"/>
      <c r="C633" s="222"/>
      <c r="D633" s="223"/>
      <c r="E633" s="223"/>
      <c r="F633" s="223"/>
      <c r="G633" s="224"/>
      <c r="H633" s="209"/>
      <c r="I633" s="209"/>
      <c r="J633" s="209"/>
      <c r="K633" s="171"/>
      <c r="L633" s="225"/>
      <c r="M633" s="225"/>
      <c r="N633" s="230"/>
      <c r="O633" s="228"/>
      <c r="P633" s="231"/>
      <c r="Q633" s="228"/>
      <c r="R633" s="231"/>
      <c r="S633" s="229"/>
      <c r="T633" s="229"/>
      <c r="U633" s="217"/>
      <c r="V633" s="217"/>
      <c r="W633" s="218"/>
      <c r="X633" s="220"/>
    </row>
    <row r="634" spans="1:24" s="75" customFormat="1" ht="25.65" customHeight="1">
      <c r="A634" s="218"/>
      <c r="B634" s="221"/>
      <c r="C634" s="222"/>
      <c r="D634" s="223"/>
      <c r="E634" s="223"/>
      <c r="F634" s="223"/>
      <c r="G634" s="224"/>
      <c r="H634" s="209"/>
      <c r="I634" s="209"/>
      <c r="J634" s="209"/>
      <c r="K634" s="171"/>
      <c r="L634" s="225"/>
      <c r="M634" s="225"/>
      <c r="N634" s="230"/>
      <c r="O634" s="228"/>
      <c r="P634" s="231"/>
      <c r="Q634" s="228"/>
      <c r="R634" s="231"/>
      <c r="S634" s="229"/>
      <c r="T634" s="229"/>
      <c r="U634" s="217"/>
      <c r="V634" s="217"/>
      <c r="W634" s="218"/>
      <c r="X634" s="220"/>
    </row>
    <row r="635" spans="1:24" s="75" customFormat="1" ht="25.65" customHeight="1">
      <c r="A635" s="218"/>
      <c r="B635" s="221"/>
      <c r="C635" s="222"/>
      <c r="D635" s="223"/>
      <c r="E635" s="223"/>
      <c r="F635" s="223"/>
      <c r="G635" s="224"/>
      <c r="H635" s="209"/>
      <c r="I635" s="209"/>
      <c r="J635" s="209"/>
      <c r="K635" s="171"/>
      <c r="L635" s="225"/>
      <c r="M635" s="225"/>
      <c r="N635" s="230"/>
      <c r="O635" s="228"/>
      <c r="P635" s="231"/>
      <c r="Q635" s="228"/>
      <c r="R635" s="231"/>
      <c r="S635" s="229"/>
      <c r="T635" s="229"/>
      <c r="U635" s="217"/>
      <c r="V635" s="217"/>
      <c r="W635" s="218"/>
      <c r="X635" s="220"/>
    </row>
    <row r="636" spans="1:24" s="75" customFormat="1" ht="25.65" customHeight="1">
      <c r="A636" s="218"/>
      <c r="B636" s="221"/>
      <c r="C636" s="222"/>
      <c r="D636" s="223"/>
      <c r="E636" s="223"/>
      <c r="F636" s="223"/>
      <c r="G636" s="224"/>
      <c r="H636" s="209"/>
      <c r="I636" s="209"/>
      <c r="J636" s="209"/>
      <c r="K636" s="171"/>
      <c r="L636" s="225"/>
      <c r="M636" s="225"/>
      <c r="N636" s="230"/>
      <c r="O636" s="228"/>
      <c r="P636" s="231"/>
      <c r="Q636" s="228"/>
      <c r="R636" s="231"/>
      <c r="S636" s="229"/>
      <c r="T636" s="229"/>
      <c r="U636" s="217"/>
      <c r="V636" s="217"/>
      <c r="W636" s="218"/>
      <c r="X636" s="220"/>
    </row>
    <row r="637" spans="1:24" s="75" customFormat="1" ht="25.65" customHeight="1">
      <c r="A637" s="218"/>
      <c r="B637" s="221"/>
      <c r="C637" s="222"/>
      <c r="D637" s="223"/>
      <c r="E637" s="223"/>
      <c r="F637" s="223"/>
      <c r="G637" s="224"/>
      <c r="H637" s="209"/>
      <c r="I637" s="209"/>
      <c r="J637" s="209"/>
      <c r="K637" s="171"/>
      <c r="L637" s="225"/>
      <c r="M637" s="225"/>
      <c r="N637" s="230"/>
      <c r="O637" s="228"/>
      <c r="P637" s="231"/>
      <c r="Q637" s="228"/>
      <c r="R637" s="231"/>
      <c r="S637" s="229"/>
      <c r="T637" s="229"/>
      <c r="U637" s="217"/>
      <c r="V637" s="217"/>
      <c r="W637" s="218"/>
      <c r="X637" s="220"/>
    </row>
    <row r="638" spans="1:24" s="75" customFormat="1" ht="25.65" customHeight="1">
      <c r="A638" s="218"/>
      <c r="B638" s="221"/>
      <c r="C638" s="222"/>
      <c r="D638" s="223"/>
      <c r="E638" s="223"/>
      <c r="F638" s="223"/>
      <c r="G638" s="224"/>
      <c r="H638" s="209"/>
      <c r="I638" s="209"/>
      <c r="J638" s="209"/>
      <c r="K638" s="171"/>
      <c r="L638" s="225"/>
      <c r="M638" s="225"/>
      <c r="N638" s="230"/>
      <c r="O638" s="228"/>
      <c r="P638" s="231"/>
      <c r="Q638" s="228"/>
      <c r="R638" s="231"/>
      <c r="S638" s="229"/>
      <c r="T638" s="229"/>
      <c r="U638" s="217"/>
      <c r="V638" s="217"/>
      <c r="W638" s="218"/>
      <c r="X638" s="220"/>
    </row>
    <row r="639" spans="1:24" s="75" customFormat="1" ht="25.65" customHeight="1">
      <c r="A639" s="218"/>
      <c r="B639" s="221"/>
      <c r="C639" s="222"/>
      <c r="D639" s="223"/>
      <c r="E639" s="223"/>
      <c r="F639" s="223"/>
      <c r="G639" s="224"/>
      <c r="H639" s="209"/>
      <c r="I639" s="209"/>
      <c r="J639" s="209"/>
      <c r="K639" s="171"/>
      <c r="L639" s="225"/>
      <c r="M639" s="225"/>
      <c r="N639" s="230"/>
      <c r="O639" s="228"/>
      <c r="P639" s="231"/>
      <c r="Q639" s="228"/>
      <c r="R639" s="231"/>
      <c r="S639" s="229"/>
      <c r="T639" s="229"/>
      <c r="U639" s="217"/>
      <c r="V639" s="217"/>
      <c r="W639" s="218"/>
      <c r="X639" s="220"/>
    </row>
    <row r="640" spans="1:24" s="75" customFormat="1" ht="25.65" customHeight="1">
      <c r="A640" s="218"/>
      <c r="B640" s="221"/>
      <c r="C640" s="222"/>
      <c r="D640" s="223"/>
      <c r="E640" s="223"/>
      <c r="F640" s="223"/>
      <c r="G640" s="224"/>
      <c r="H640" s="209"/>
      <c r="I640" s="209"/>
      <c r="J640" s="209"/>
      <c r="K640" s="171"/>
      <c r="L640" s="225"/>
      <c r="M640" s="225"/>
      <c r="N640" s="230"/>
      <c r="O640" s="228"/>
      <c r="P640" s="231"/>
      <c r="Q640" s="228"/>
      <c r="R640" s="231"/>
      <c r="S640" s="229"/>
      <c r="T640" s="229"/>
      <c r="U640" s="217"/>
      <c r="V640" s="217"/>
      <c r="W640" s="218"/>
      <c r="X640" s="220"/>
    </row>
    <row r="641" spans="1:24" s="75" customFormat="1" ht="25.65" customHeight="1">
      <c r="A641" s="218"/>
      <c r="B641" s="221"/>
      <c r="C641" s="222"/>
      <c r="D641" s="223"/>
      <c r="E641" s="223"/>
      <c r="F641" s="223"/>
      <c r="G641" s="224"/>
      <c r="H641" s="209"/>
      <c r="I641" s="209"/>
      <c r="J641" s="209"/>
      <c r="K641" s="171"/>
      <c r="L641" s="225"/>
      <c r="M641" s="225"/>
      <c r="N641" s="230"/>
      <c r="O641" s="228"/>
      <c r="P641" s="231"/>
      <c r="Q641" s="228"/>
      <c r="R641" s="231"/>
      <c r="S641" s="229"/>
      <c r="T641" s="229"/>
      <c r="U641" s="217"/>
      <c r="V641" s="217"/>
      <c r="W641" s="218"/>
      <c r="X641" s="220"/>
    </row>
    <row r="642" spans="1:24" s="75" customFormat="1" ht="25.65" customHeight="1">
      <c r="A642" s="218"/>
      <c r="B642" s="221"/>
      <c r="C642" s="222"/>
      <c r="D642" s="223"/>
      <c r="E642" s="223"/>
      <c r="F642" s="223"/>
      <c r="G642" s="224"/>
      <c r="H642" s="209"/>
      <c r="I642" s="209"/>
      <c r="J642" s="209"/>
      <c r="K642" s="171"/>
      <c r="L642" s="225"/>
      <c r="M642" s="225"/>
      <c r="N642" s="230"/>
      <c r="O642" s="228"/>
      <c r="P642" s="231"/>
      <c r="Q642" s="228"/>
      <c r="R642" s="231"/>
      <c r="S642" s="229"/>
      <c r="T642" s="229"/>
      <c r="U642" s="217"/>
      <c r="V642" s="217"/>
      <c r="W642" s="218"/>
      <c r="X642" s="220"/>
    </row>
    <row r="643" spans="1:24" s="75" customFormat="1" ht="25.65" customHeight="1">
      <c r="A643" s="218"/>
      <c r="B643" s="221"/>
      <c r="C643" s="222"/>
      <c r="D643" s="223"/>
      <c r="E643" s="223"/>
      <c r="F643" s="223"/>
      <c r="G643" s="224"/>
      <c r="H643" s="209"/>
      <c r="I643" s="209"/>
      <c r="J643" s="209"/>
      <c r="K643" s="171"/>
      <c r="L643" s="225"/>
      <c r="M643" s="225"/>
      <c r="N643" s="230"/>
      <c r="O643" s="228"/>
      <c r="P643" s="231"/>
      <c r="Q643" s="228"/>
      <c r="R643" s="231"/>
      <c r="S643" s="229"/>
      <c r="T643" s="229"/>
      <c r="U643" s="217"/>
      <c r="V643" s="217"/>
      <c r="W643" s="218"/>
      <c r="X643" s="220"/>
    </row>
    <row r="644" spans="1:24" s="75" customFormat="1" ht="25.65" customHeight="1">
      <c r="A644" s="218"/>
      <c r="B644" s="221"/>
      <c r="C644" s="222"/>
      <c r="D644" s="223"/>
      <c r="E644" s="223"/>
      <c r="F644" s="223"/>
      <c r="G644" s="224"/>
      <c r="H644" s="209"/>
      <c r="I644" s="209"/>
      <c r="J644" s="209"/>
      <c r="K644" s="171"/>
      <c r="L644" s="225"/>
      <c r="M644" s="225"/>
      <c r="N644" s="230"/>
      <c r="O644" s="228"/>
      <c r="P644" s="231"/>
      <c r="Q644" s="228"/>
      <c r="R644" s="231"/>
      <c r="S644" s="229"/>
      <c r="T644" s="229"/>
      <c r="U644" s="217"/>
      <c r="V644" s="217"/>
      <c r="W644" s="218"/>
      <c r="X644" s="220"/>
    </row>
    <row r="645" spans="1:24" s="75" customFormat="1" ht="25.65" customHeight="1">
      <c r="A645" s="218"/>
      <c r="B645" s="221"/>
      <c r="C645" s="222"/>
      <c r="D645" s="223"/>
      <c r="E645" s="223"/>
      <c r="F645" s="223"/>
      <c r="G645" s="224"/>
      <c r="H645" s="209"/>
      <c r="I645" s="209"/>
      <c r="J645" s="209"/>
      <c r="K645" s="171"/>
      <c r="L645" s="225"/>
      <c r="M645" s="225"/>
      <c r="N645" s="230"/>
      <c r="O645" s="228"/>
      <c r="P645" s="231"/>
      <c r="Q645" s="228"/>
      <c r="R645" s="231"/>
      <c r="S645" s="229"/>
      <c r="T645" s="229"/>
      <c r="U645" s="217"/>
      <c r="V645" s="217"/>
      <c r="W645" s="218"/>
      <c r="X645" s="220"/>
    </row>
    <row r="646" spans="1:24" s="75" customFormat="1" ht="25.65" customHeight="1">
      <c r="A646" s="218"/>
      <c r="B646" s="221"/>
      <c r="C646" s="222"/>
      <c r="D646" s="223"/>
      <c r="E646" s="223"/>
      <c r="F646" s="223"/>
      <c r="G646" s="224"/>
      <c r="H646" s="209"/>
      <c r="I646" s="209"/>
      <c r="J646" s="209"/>
      <c r="K646" s="171"/>
      <c r="L646" s="225"/>
      <c r="M646" s="225"/>
      <c r="N646" s="230"/>
      <c r="O646" s="228"/>
      <c r="P646" s="231"/>
      <c r="Q646" s="228"/>
      <c r="R646" s="231"/>
      <c r="S646" s="229"/>
      <c r="T646" s="229"/>
      <c r="U646" s="217"/>
      <c r="V646" s="217"/>
      <c r="W646" s="218"/>
      <c r="X646" s="220"/>
    </row>
    <row r="647" spans="1:24" s="75" customFormat="1" ht="25.65" customHeight="1">
      <c r="A647" s="218"/>
      <c r="B647" s="221"/>
      <c r="C647" s="222"/>
      <c r="D647" s="223"/>
      <c r="E647" s="223"/>
      <c r="F647" s="223"/>
      <c r="G647" s="224"/>
      <c r="H647" s="209"/>
      <c r="I647" s="209"/>
      <c r="J647" s="209"/>
      <c r="K647" s="171"/>
      <c r="L647" s="225"/>
      <c r="M647" s="225"/>
      <c r="N647" s="230"/>
      <c r="O647" s="228"/>
      <c r="P647" s="231"/>
      <c r="Q647" s="228"/>
      <c r="R647" s="231"/>
      <c r="S647" s="229"/>
      <c r="T647" s="229"/>
      <c r="U647" s="217"/>
      <c r="V647" s="217"/>
      <c r="W647" s="218"/>
      <c r="X647" s="220"/>
    </row>
    <row r="648" spans="1:24" s="75" customFormat="1" ht="25.65" customHeight="1">
      <c r="A648" s="218"/>
      <c r="B648" s="221"/>
      <c r="C648" s="222"/>
      <c r="D648" s="223"/>
      <c r="E648" s="223"/>
      <c r="F648" s="223"/>
      <c r="G648" s="224"/>
      <c r="H648" s="209"/>
      <c r="I648" s="209"/>
      <c r="J648" s="209"/>
      <c r="K648" s="171"/>
      <c r="L648" s="225"/>
      <c r="M648" s="225"/>
      <c r="N648" s="230"/>
      <c r="O648" s="228"/>
      <c r="P648" s="231"/>
      <c r="Q648" s="228"/>
      <c r="R648" s="231"/>
      <c r="S648" s="229"/>
      <c r="T648" s="229"/>
      <c r="U648" s="217"/>
      <c r="V648" s="217"/>
      <c r="W648" s="218"/>
      <c r="X648" s="220"/>
    </row>
    <row r="649" spans="1:24" s="75" customFormat="1" ht="25.65" customHeight="1">
      <c r="A649" s="218"/>
      <c r="B649" s="221"/>
      <c r="C649" s="222"/>
      <c r="D649" s="223"/>
      <c r="E649" s="223"/>
      <c r="F649" s="223"/>
      <c r="G649" s="224"/>
      <c r="H649" s="209"/>
      <c r="I649" s="209"/>
      <c r="J649" s="209"/>
      <c r="K649" s="171"/>
      <c r="L649" s="225"/>
      <c r="M649" s="225"/>
      <c r="N649" s="230"/>
      <c r="O649" s="228"/>
      <c r="P649" s="231"/>
      <c r="Q649" s="228"/>
      <c r="R649" s="231"/>
      <c r="S649" s="229"/>
      <c r="T649" s="229"/>
      <c r="U649" s="217"/>
      <c r="V649" s="217"/>
      <c r="W649" s="218"/>
      <c r="X649" s="220"/>
    </row>
    <row r="650" spans="1:24" s="75" customFormat="1" ht="25.65" customHeight="1">
      <c r="A650" s="218"/>
      <c r="B650" s="221"/>
      <c r="C650" s="222"/>
      <c r="D650" s="223"/>
      <c r="E650" s="223"/>
      <c r="F650" s="223"/>
      <c r="G650" s="224"/>
      <c r="H650" s="209"/>
      <c r="I650" s="209"/>
      <c r="J650" s="209"/>
      <c r="K650" s="171"/>
      <c r="L650" s="225"/>
      <c r="M650" s="225"/>
      <c r="N650" s="230"/>
      <c r="O650" s="228"/>
      <c r="P650" s="231"/>
      <c r="Q650" s="228"/>
      <c r="R650" s="231"/>
      <c r="S650" s="229"/>
      <c r="T650" s="229"/>
      <c r="U650" s="217"/>
      <c r="V650" s="217"/>
      <c r="W650" s="218"/>
      <c r="X650" s="220"/>
    </row>
    <row r="651" spans="1:24" s="75" customFormat="1" ht="25.65" customHeight="1">
      <c r="A651" s="218"/>
      <c r="B651" s="221"/>
      <c r="C651" s="222"/>
      <c r="D651" s="223"/>
      <c r="E651" s="223"/>
      <c r="F651" s="223"/>
      <c r="G651" s="224"/>
      <c r="H651" s="209"/>
      <c r="I651" s="209"/>
      <c r="J651" s="209"/>
      <c r="K651" s="171"/>
      <c r="L651" s="225"/>
      <c r="M651" s="225"/>
      <c r="N651" s="230"/>
      <c r="O651" s="228"/>
      <c r="P651" s="231"/>
      <c r="Q651" s="228"/>
      <c r="R651" s="231"/>
      <c r="S651" s="229"/>
      <c r="T651" s="229"/>
      <c r="U651" s="217"/>
      <c r="V651" s="217"/>
      <c r="W651" s="218"/>
      <c r="X651" s="220"/>
    </row>
    <row r="652" spans="1:24" s="75" customFormat="1" ht="25.65" customHeight="1">
      <c r="A652" s="218"/>
      <c r="B652" s="221"/>
      <c r="C652" s="222"/>
      <c r="D652" s="223"/>
      <c r="E652" s="223"/>
      <c r="F652" s="223"/>
      <c r="G652" s="224"/>
      <c r="H652" s="209"/>
      <c r="I652" s="209"/>
      <c r="J652" s="209"/>
      <c r="K652" s="171"/>
      <c r="L652" s="225"/>
      <c r="M652" s="225"/>
      <c r="N652" s="230"/>
      <c r="O652" s="228"/>
      <c r="P652" s="231"/>
      <c r="Q652" s="228"/>
      <c r="R652" s="231"/>
      <c r="S652" s="229"/>
      <c r="T652" s="229"/>
      <c r="U652" s="217"/>
      <c r="V652" s="217"/>
      <c r="W652" s="218"/>
      <c r="X652" s="220"/>
    </row>
    <row r="653" spans="1:24" s="75" customFormat="1" ht="25.65" customHeight="1">
      <c r="A653" s="218"/>
      <c r="B653" s="221"/>
      <c r="C653" s="222"/>
      <c r="D653" s="223"/>
      <c r="E653" s="223"/>
      <c r="F653" s="223"/>
      <c r="G653" s="224"/>
      <c r="H653" s="209"/>
      <c r="I653" s="209"/>
      <c r="J653" s="209"/>
      <c r="K653" s="171"/>
      <c r="L653" s="225"/>
      <c r="M653" s="225"/>
      <c r="N653" s="230"/>
      <c r="O653" s="228"/>
      <c r="P653" s="231"/>
      <c r="Q653" s="228"/>
      <c r="R653" s="231"/>
      <c r="S653" s="229"/>
      <c r="T653" s="229"/>
      <c r="U653" s="217"/>
      <c r="V653" s="217"/>
      <c r="W653" s="218"/>
      <c r="X653" s="220"/>
    </row>
    <row r="654" spans="1:24" s="75" customFormat="1" ht="25.65" customHeight="1">
      <c r="A654" s="218"/>
      <c r="B654" s="221"/>
      <c r="C654" s="222"/>
      <c r="D654" s="223"/>
      <c r="E654" s="223"/>
      <c r="F654" s="223"/>
      <c r="G654" s="224"/>
      <c r="H654" s="209"/>
      <c r="I654" s="209"/>
      <c r="J654" s="209"/>
      <c r="K654" s="171"/>
      <c r="L654" s="225"/>
      <c r="M654" s="225"/>
      <c r="N654" s="230"/>
      <c r="O654" s="228"/>
      <c r="P654" s="231"/>
      <c r="Q654" s="228"/>
      <c r="R654" s="231"/>
      <c r="S654" s="229"/>
      <c r="T654" s="229"/>
      <c r="U654" s="217"/>
      <c r="V654" s="217"/>
      <c r="W654" s="218"/>
      <c r="X654" s="220"/>
    </row>
    <row r="655" spans="1:24" s="75" customFormat="1" ht="25.65" customHeight="1">
      <c r="A655" s="218"/>
      <c r="B655" s="221"/>
      <c r="C655" s="222"/>
      <c r="D655" s="223"/>
      <c r="E655" s="223"/>
      <c r="F655" s="223"/>
      <c r="G655" s="224"/>
      <c r="H655" s="209"/>
      <c r="I655" s="209"/>
      <c r="J655" s="209"/>
      <c r="K655" s="171"/>
      <c r="L655" s="225"/>
      <c r="M655" s="225"/>
      <c r="N655" s="230"/>
      <c r="O655" s="228"/>
      <c r="P655" s="231"/>
      <c r="Q655" s="228"/>
      <c r="R655" s="231"/>
      <c r="S655" s="229"/>
      <c r="T655" s="229"/>
      <c r="U655" s="217"/>
      <c r="V655" s="217"/>
      <c r="W655" s="218"/>
      <c r="X655" s="220"/>
    </row>
    <row r="656" spans="1:24" s="75" customFormat="1" ht="25.65" customHeight="1">
      <c r="A656" s="218"/>
      <c r="B656" s="221"/>
      <c r="C656" s="222"/>
      <c r="D656" s="223"/>
      <c r="E656" s="223"/>
      <c r="F656" s="223"/>
      <c r="G656" s="224"/>
      <c r="H656" s="209"/>
      <c r="I656" s="209"/>
      <c r="J656" s="209"/>
      <c r="K656" s="171"/>
      <c r="L656" s="225"/>
      <c r="M656" s="225"/>
      <c r="N656" s="230"/>
      <c r="O656" s="228"/>
      <c r="P656" s="231"/>
      <c r="Q656" s="228"/>
      <c r="R656" s="231"/>
      <c r="S656" s="229"/>
      <c r="T656" s="229"/>
      <c r="U656" s="217"/>
      <c r="V656" s="217"/>
      <c r="W656" s="218"/>
      <c r="X656" s="220"/>
    </row>
    <row r="657" spans="1:24" s="75" customFormat="1" ht="25.65" customHeight="1">
      <c r="A657" s="218"/>
      <c r="B657" s="221"/>
      <c r="C657" s="222"/>
      <c r="D657" s="223"/>
      <c r="E657" s="223"/>
      <c r="F657" s="223"/>
      <c r="G657" s="224"/>
      <c r="H657" s="209"/>
      <c r="I657" s="209"/>
      <c r="J657" s="209"/>
      <c r="K657" s="171"/>
      <c r="L657" s="225"/>
      <c r="M657" s="225"/>
      <c r="N657" s="230"/>
      <c r="O657" s="228"/>
      <c r="P657" s="231"/>
      <c r="Q657" s="228"/>
      <c r="R657" s="231"/>
      <c r="S657" s="229"/>
      <c r="T657" s="229"/>
      <c r="U657" s="217"/>
      <c r="V657" s="217"/>
      <c r="W657" s="218"/>
      <c r="X657" s="220"/>
    </row>
    <row r="658" spans="1:24" s="75" customFormat="1" ht="25.65" customHeight="1">
      <c r="A658" s="218"/>
      <c r="B658" s="221"/>
      <c r="C658" s="222"/>
      <c r="D658" s="223"/>
      <c r="E658" s="223"/>
      <c r="F658" s="223"/>
      <c r="G658" s="224"/>
      <c r="H658" s="209"/>
      <c r="I658" s="209"/>
      <c r="J658" s="209"/>
      <c r="K658" s="171"/>
      <c r="L658" s="225"/>
      <c r="M658" s="225"/>
      <c r="N658" s="230"/>
      <c r="O658" s="228"/>
      <c r="P658" s="231"/>
      <c r="Q658" s="228"/>
      <c r="R658" s="231"/>
      <c r="S658" s="229"/>
      <c r="T658" s="229"/>
      <c r="U658" s="217"/>
      <c r="V658" s="217"/>
      <c r="W658" s="218"/>
      <c r="X658" s="220"/>
    </row>
    <row r="659" spans="1:24" s="75" customFormat="1" ht="25.65" customHeight="1">
      <c r="A659" s="218"/>
      <c r="B659" s="221"/>
      <c r="C659" s="222"/>
      <c r="D659" s="223"/>
      <c r="E659" s="223"/>
      <c r="F659" s="223"/>
      <c r="G659" s="224"/>
      <c r="H659" s="209"/>
      <c r="I659" s="209"/>
      <c r="J659" s="209"/>
      <c r="K659" s="171"/>
      <c r="L659" s="225"/>
      <c r="M659" s="225"/>
      <c r="N659" s="230"/>
      <c r="O659" s="228"/>
      <c r="P659" s="231"/>
      <c r="Q659" s="228"/>
      <c r="R659" s="231"/>
      <c r="S659" s="229"/>
      <c r="T659" s="229"/>
      <c r="U659" s="217"/>
      <c r="V659" s="217"/>
      <c r="W659" s="218"/>
      <c r="X659" s="220"/>
    </row>
    <row r="660" spans="1:24" s="75" customFormat="1" ht="25.65" customHeight="1">
      <c r="A660" s="218"/>
      <c r="B660" s="221"/>
      <c r="C660" s="222"/>
      <c r="D660" s="223"/>
      <c r="E660" s="223"/>
      <c r="F660" s="223"/>
      <c r="G660" s="224"/>
      <c r="H660" s="209"/>
      <c r="I660" s="209"/>
      <c r="J660" s="209"/>
      <c r="K660" s="171"/>
      <c r="L660" s="225"/>
      <c r="M660" s="225"/>
      <c r="N660" s="230"/>
      <c r="O660" s="228"/>
      <c r="P660" s="231"/>
      <c r="Q660" s="228"/>
      <c r="R660" s="231"/>
      <c r="S660" s="229"/>
      <c r="T660" s="229"/>
      <c r="U660" s="217"/>
      <c r="V660" s="217"/>
      <c r="W660" s="218"/>
      <c r="X660" s="220"/>
    </row>
    <row r="661" spans="1:24" s="75" customFormat="1" ht="25.65" customHeight="1">
      <c r="A661" s="218"/>
      <c r="B661" s="221"/>
      <c r="C661" s="222"/>
      <c r="D661" s="223"/>
      <c r="E661" s="223"/>
      <c r="F661" s="223"/>
      <c r="G661" s="224"/>
      <c r="H661" s="209"/>
      <c r="I661" s="209"/>
      <c r="J661" s="209"/>
      <c r="K661" s="171"/>
      <c r="L661" s="225"/>
      <c r="M661" s="225"/>
      <c r="N661" s="230"/>
      <c r="O661" s="228"/>
      <c r="P661" s="231"/>
      <c r="Q661" s="228"/>
      <c r="R661" s="231"/>
      <c r="S661" s="229"/>
      <c r="T661" s="229"/>
      <c r="U661" s="217"/>
      <c r="V661" s="217"/>
      <c r="W661" s="218"/>
      <c r="X661" s="220"/>
    </row>
    <row r="662" spans="1:24" s="75" customFormat="1" ht="25.65" customHeight="1">
      <c r="A662" s="218"/>
      <c r="B662" s="221"/>
      <c r="C662" s="222"/>
      <c r="D662" s="223"/>
      <c r="E662" s="223"/>
      <c r="F662" s="223"/>
      <c r="G662" s="224"/>
      <c r="H662" s="209"/>
      <c r="I662" s="209"/>
      <c r="J662" s="209"/>
      <c r="K662" s="171"/>
      <c r="L662" s="225"/>
      <c r="M662" s="225"/>
      <c r="N662" s="230"/>
      <c r="O662" s="228"/>
      <c r="P662" s="231"/>
      <c r="Q662" s="228"/>
      <c r="R662" s="231"/>
      <c r="S662" s="229"/>
      <c r="T662" s="229"/>
      <c r="U662" s="217"/>
      <c r="V662" s="217"/>
      <c r="W662" s="218"/>
      <c r="X662" s="220"/>
    </row>
    <row r="663" spans="1:24" s="75" customFormat="1" ht="25.65" customHeight="1">
      <c r="A663" s="218"/>
      <c r="B663" s="221"/>
      <c r="C663" s="222"/>
      <c r="D663" s="223"/>
      <c r="E663" s="223"/>
      <c r="F663" s="223"/>
      <c r="G663" s="224"/>
      <c r="H663" s="209"/>
      <c r="I663" s="209"/>
      <c r="J663" s="209"/>
      <c r="K663" s="171"/>
      <c r="L663" s="225"/>
      <c r="M663" s="225"/>
      <c r="N663" s="230"/>
      <c r="O663" s="228"/>
      <c r="P663" s="231"/>
      <c r="Q663" s="228"/>
      <c r="R663" s="231"/>
      <c r="S663" s="229"/>
      <c r="T663" s="229"/>
      <c r="U663" s="217"/>
      <c r="V663" s="217"/>
      <c r="W663" s="218"/>
      <c r="X663" s="220"/>
    </row>
    <row r="664" spans="1:24" s="75" customFormat="1" ht="25.65" customHeight="1">
      <c r="A664" s="218"/>
      <c r="B664" s="221"/>
      <c r="C664" s="222"/>
      <c r="D664" s="223"/>
      <c r="E664" s="223"/>
      <c r="F664" s="223"/>
      <c r="G664" s="224"/>
      <c r="H664" s="209"/>
      <c r="I664" s="209"/>
      <c r="J664" s="209"/>
      <c r="K664" s="171"/>
      <c r="L664" s="225"/>
      <c r="M664" s="225"/>
      <c r="N664" s="230"/>
      <c r="O664" s="228"/>
      <c r="P664" s="231"/>
      <c r="Q664" s="228"/>
      <c r="R664" s="231"/>
      <c r="S664" s="229"/>
      <c r="T664" s="229"/>
      <c r="U664" s="217"/>
      <c r="V664" s="217"/>
      <c r="W664" s="218"/>
      <c r="X664" s="220"/>
    </row>
    <row r="665" spans="1:24" s="75" customFormat="1" ht="25.65" customHeight="1">
      <c r="A665" s="218"/>
      <c r="B665" s="221"/>
      <c r="C665" s="222"/>
      <c r="D665" s="223"/>
      <c r="E665" s="223"/>
      <c r="F665" s="223"/>
      <c r="G665" s="224"/>
      <c r="H665" s="209"/>
      <c r="I665" s="209"/>
      <c r="J665" s="209"/>
      <c r="K665" s="171"/>
      <c r="L665" s="225"/>
      <c r="M665" s="225"/>
      <c r="N665" s="230"/>
      <c r="O665" s="228"/>
      <c r="P665" s="231"/>
      <c r="Q665" s="228"/>
      <c r="R665" s="231"/>
      <c r="S665" s="229"/>
      <c r="T665" s="229"/>
      <c r="U665" s="217"/>
      <c r="V665" s="217"/>
      <c r="W665" s="218"/>
      <c r="X665" s="220"/>
    </row>
    <row r="666" spans="1:24" s="75" customFormat="1" ht="25.65" customHeight="1">
      <c r="A666" s="218"/>
      <c r="B666" s="221"/>
      <c r="C666" s="222"/>
      <c r="D666" s="223"/>
      <c r="E666" s="223"/>
      <c r="F666" s="223"/>
      <c r="G666" s="224"/>
      <c r="H666" s="209"/>
      <c r="I666" s="209"/>
      <c r="J666" s="209"/>
      <c r="K666" s="171"/>
      <c r="L666" s="225"/>
      <c r="M666" s="225"/>
      <c r="N666" s="230"/>
      <c r="O666" s="228"/>
      <c r="P666" s="231"/>
      <c r="Q666" s="228"/>
      <c r="R666" s="231"/>
      <c r="S666" s="229"/>
      <c r="T666" s="229"/>
      <c r="U666" s="217"/>
      <c r="V666" s="217"/>
      <c r="W666" s="218"/>
      <c r="X666" s="220"/>
    </row>
    <row r="667" spans="1:24" s="75" customFormat="1" ht="25.65" customHeight="1">
      <c r="A667" s="218"/>
      <c r="B667" s="221"/>
      <c r="C667" s="222"/>
      <c r="D667" s="223"/>
      <c r="E667" s="223"/>
      <c r="F667" s="223"/>
      <c r="G667" s="224"/>
      <c r="H667" s="209"/>
      <c r="I667" s="209"/>
      <c r="J667" s="209"/>
      <c r="K667" s="171"/>
      <c r="L667" s="225"/>
      <c r="M667" s="225"/>
      <c r="N667" s="230"/>
      <c r="O667" s="228"/>
      <c r="P667" s="231"/>
      <c r="Q667" s="228"/>
      <c r="R667" s="231"/>
      <c r="S667" s="229"/>
      <c r="T667" s="229"/>
      <c r="U667" s="217"/>
      <c r="V667" s="217"/>
      <c r="W667" s="218"/>
      <c r="X667" s="220"/>
    </row>
    <row r="668" spans="1:24" s="75" customFormat="1" ht="25.65" customHeight="1">
      <c r="A668" s="218"/>
      <c r="B668" s="221"/>
      <c r="C668" s="222"/>
      <c r="D668" s="223"/>
      <c r="E668" s="223"/>
      <c r="F668" s="223"/>
      <c r="G668" s="224"/>
      <c r="H668" s="209"/>
      <c r="I668" s="209"/>
      <c r="J668" s="209"/>
      <c r="K668" s="171"/>
      <c r="L668" s="225"/>
      <c r="M668" s="225"/>
      <c r="N668" s="230"/>
      <c r="O668" s="228"/>
      <c r="P668" s="231"/>
      <c r="Q668" s="228"/>
      <c r="R668" s="231"/>
      <c r="S668" s="229"/>
      <c r="T668" s="229"/>
      <c r="U668" s="217"/>
      <c r="V668" s="217"/>
      <c r="W668" s="218"/>
      <c r="X668" s="220"/>
    </row>
    <row r="669" spans="1:24" s="75" customFormat="1" ht="25.65" customHeight="1">
      <c r="A669" s="218"/>
      <c r="B669" s="221"/>
      <c r="C669" s="222"/>
      <c r="D669" s="223"/>
      <c r="E669" s="223"/>
      <c r="F669" s="223"/>
      <c r="G669" s="224"/>
      <c r="H669" s="209"/>
      <c r="I669" s="209"/>
      <c r="J669" s="209"/>
      <c r="K669" s="171"/>
      <c r="L669" s="225"/>
      <c r="M669" s="225"/>
      <c r="N669" s="230"/>
      <c r="O669" s="228"/>
      <c r="P669" s="231"/>
      <c r="Q669" s="228"/>
      <c r="R669" s="231"/>
      <c r="S669" s="229"/>
      <c r="T669" s="229"/>
      <c r="U669" s="217"/>
      <c r="V669" s="217"/>
      <c r="W669" s="218"/>
      <c r="X669" s="220"/>
    </row>
    <row r="670" spans="1:24" s="75" customFormat="1" ht="25.65" customHeight="1">
      <c r="A670" s="218"/>
      <c r="B670" s="221"/>
      <c r="C670" s="222"/>
      <c r="D670" s="223"/>
      <c r="E670" s="223"/>
      <c r="F670" s="223"/>
      <c r="G670" s="224"/>
      <c r="H670" s="209"/>
      <c r="I670" s="209"/>
      <c r="J670" s="209"/>
      <c r="K670" s="171"/>
      <c r="L670" s="225"/>
      <c r="M670" s="225"/>
      <c r="N670" s="230"/>
      <c r="O670" s="228"/>
      <c r="P670" s="231"/>
      <c r="Q670" s="228"/>
      <c r="R670" s="231"/>
      <c r="S670" s="229"/>
      <c r="T670" s="229"/>
      <c r="U670" s="217"/>
      <c r="V670" s="217"/>
      <c r="W670" s="218"/>
      <c r="X670" s="220"/>
    </row>
    <row r="671" spans="1:24" s="75" customFormat="1" ht="25.65" customHeight="1">
      <c r="A671" s="218"/>
      <c r="B671" s="221"/>
      <c r="C671" s="222"/>
      <c r="D671" s="223"/>
      <c r="E671" s="223"/>
      <c r="F671" s="223"/>
      <c r="G671" s="224"/>
      <c r="H671" s="209"/>
      <c r="I671" s="209"/>
      <c r="J671" s="209"/>
      <c r="K671" s="171"/>
      <c r="L671" s="225"/>
      <c r="M671" s="225"/>
      <c r="N671" s="230"/>
      <c r="O671" s="228"/>
      <c r="P671" s="231"/>
      <c r="Q671" s="228"/>
      <c r="R671" s="231"/>
      <c r="S671" s="229"/>
      <c r="T671" s="229"/>
      <c r="U671" s="217"/>
      <c r="V671" s="217"/>
      <c r="W671" s="218"/>
      <c r="X671" s="220"/>
    </row>
    <row r="672" spans="1:24" s="75" customFormat="1" ht="25.65" customHeight="1">
      <c r="A672" s="218"/>
      <c r="B672" s="221"/>
      <c r="C672" s="222"/>
      <c r="D672" s="223"/>
      <c r="E672" s="223"/>
      <c r="F672" s="223"/>
      <c r="G672" s="224"/>
      <c r="H672" s="209"/>
      <c r="I672" s="209"/>
      <c r="J672" s="209"/>
      <c r="K672" s="171"/>
      <c r="L672" s="225"/>
      <c r="M672" s="225"/>
      <c r="N672" s="230"/>
      <c r="O672" s="228"/>
      <c r="P672" s="231"/>
      <c r="Q672" s="228"/>
      <c r="R672" s="231"/>
      <c r="S672" s="229"/>
      <c r="T672" s="229"/>
      <c r="U672" s="217"/>
      <c r="V672" s="217"/>
      <c r="W672" s="218"/>
      <c r="X672" s="220"/>
    </row>
    <row r="673" spans="1:24" s="75" customFormat="1" ht="25.65" customHeight="1">
      <c r="A673" s="218"/>
      <c r="B673" s="221"/>
      <c r="C673" s="222"/>
      <c r="D673" s="223"/>
      <c r="E673" s="223"/>
      <c r="F673" s="223"/>
      <c r="G673" s="224"/>
      <c r="H673" s="209"/>
      <c r="I673" s="209"/>
      <c r="J673" s="209"/>
      <c r="K673" s="171"/>
      <c r="L673" s="225"/>
      <c r="M673" s="225"/>
      <c r="N673" s="230"/>
      <c r="O673" s="228"/>
      <c r="P673" s="231"/>
      <c r="Q673" s="228"/>
      <c r="R673" s="231"/>
      <c r="S673" s="229"/>
      <c r="T673" s="229"/>
      <c r="U673" s="217"/>
      <c r="V673" s="217"/>
      <c r="W673" s="218"/>
      <c r="X673" s="220"/>
    </row>
    <row r="674" spans="1:24" s="75" customFormat="1" ht="25.65" customHeight="1">
      <c r="A674" s="218"/>
      <c r="B674" s="221"/>
      <c r="C674" s="222"/>
      <c r="D674" s="223"/>
      <c r="E674" s="223"/>
      <c r="F674" s="223"/>
      <c r="G674" s="224"/>
      <c r="H674" s="209"/>
      <c r="I674" s="209"/>
      <c r="J674" s="209"/>
      <c r="K674" s="171"/>
      <c r="L674" s="225"/>
      <c r="M674" s="225"/>
      <c r="N674" s="230"/>
      <c r="O674" s="228"/>
      <c r="P674" s="231"/>
      <c r="Q674" s="228"/>
      <c r="R674" s="231"/>
      <c r="S674" s="229"/>
      <c r="T674" s="229"/>
      <c r="U674" s="217"/>
      <c r="V674" s="217"/>
      <c r="W674" s="218"/>
      <c r="X674" s="220"/>
    </row>
    <row r="675" spans="1:24" s="75" customFormat="1" ht="25.65" customHeight="1">
      <c r="A675" s="218"/>
      <c r="B675" s="221"/>
      <c r="C675" s="222"/>
      <c r="D675" s="223"/>
      <c r="E675" s="223"/>
      <c r="F675" s="223"/>
      <c r="G675" s="224"/>
      <c r="H675" s="209"/>
      <c r="I675" s="209"/>
      <c r="J675" s="209"/>
      <c r="K675" s="171"/>
      <c r="L675" s="225"/>
      <c r="M675" s="225"/>
      <c r="N675" s="230"/>
      <c r="O675" s="228"/>
      <c r="P675" s="231"/>
      <c r="Q675" s="228"/>
      <c r="R675" s="231"/>
      <c r="S675" s="229"/>
      <c r="T675" s="229"/>
      <c r="U675" s="217"/>
      <c r="V675" s="217"/>
      <c r="W675" s="218"/>
      <c r="X675" s="220"/>
    </row>
    <row r="676" spans="1:24" s="75" customFormat="1" ht="25.65" customHeight="1">
      <c r="A676" s="218"/>
      <c r="B676" s="221"/>
      <c r="C676" s="222"/>
      <c r="D676" s="223"/>
      <c r="E676" s="223"/>
      <c r="F676" s="223"/>
      <c r="G676" s="224"/>
      <c r="H676" s="209"/>
      <c r="I676" s="209"/>
      <c r="J676" s="209"/>
      <c r="K676" s="171"/>
      <c r="L676" s="225"/>
      <c r="M676" s="225"/>
      <c r="N676" s="230"/>
      <c r="O676" s="228"/>
      <c r="P676" s="231"/>
      <c r="Q676" s="228"/>
      <c r="R676" s="231"/>
      <c r="S676" s="229"/>
      <c r="T676" s="229"/>
      <c r="U676" s="217"/>
      <c r="V676" s="217"/>
      <c r="W676" s="218"/>
      <c r="X676" s="220"/>
    </row>
    <row r="677" spans="1:24" s="75" customFormat="1" ht="25.65" customHeight="1">
      <c r="A677" s="218"/>
      <c r="B677" s="221"/>
      <c r="C677" s="222"/>
      <c r="D677" s="223"/>
      <c r="E677" s="223"/>
      <c r="F677" s="223"/>
      <c r="G677" s="224"/>
      <c r="H677" s="209"/>
      <c r="I677" s="209"/>
      <c r="J677" s="209"/>
      <c r="K677" s="171"/>
      <c r="L677" s="225"/>
      <c r="M677" s="225"/>
      <c r="N677" s="230"/>
      <c r="O677" s="228"/>
      <c r="P677" s="231"/>
      <c r="Q677" s="228"/>
      <c r="R677" s="231"/>
      <c r="S677" s="229"/>
      <c r="T677" s="229"/>
      <c r="U677" s="217"/>
      <c r="V677" s="217"/>
      <c r="W677" s="218"/>
      <c r="X677" s="220"/>
    </row>
    <row r="678" spans="1:24" s="75" customFormat="1" ht="25.65" customHeight="1">
      <c r="A678" s="218"/>
      <c r="B678" s="221"/>
      <c r="C678" s="222"/>
      <c r="D678" s="223"/>
      <c r="E678" s="223"/>
      <c r="F678" s="223"/>
      <c r="G678" s="224"/>
      <c r="H678" s="209"/>
      <c r="I678" s="209"/>
      <c r="J678" s="209"/>
      <c r="K678" s="171"/>
      <c r="L678" s="225"/>
      <c r="M678" s="225"/>
      <c r="N678" s="230"/>
      <c r="O678" s="228"/>
      <c r="P678" s="231"/>
      <c r="Q678" s="228"/>
      <c r="R678" s="231"/>
      <c r="S678" s="229"/>
      <c r="T678" s="229"/>
      <c r="U678" s="217"/>
      <c r="V678" s="217"/>
      <c r="W678" s="218"/>
      <c r="X678" s="220"/>
    </row>
    <row r="679" spans="1:24" s="75" customFormat="1" ht="25.65" customHeight="1">
      <c r="A679" s="218"/>
      <c r="B679" s="221"/>
      <c r="C679" s="222"/>
      <c r="D679" s="223"/>
      <c r="E679" s="223"/>
      <c r="F679" s="223"/>
      <c r="G679" s="224"/>
      <c r="H679" s="209"/>
      <c r="I679" s="209"/>
      <c r="J679" s="209"/>
      <c r="K679" s="171"/>
      <c r="L679" s="225"/>
      <c r="M679" s="225"/>
      <c r="N679" s="230"/>
      <c r="O679" s="228"/>
      <c r="P679" s="231"/>
      <c r="Q679" s="228"/>
      <c r="R679" s="231"/>
      <c r="S679" s="229"/>
      <c r="T679" s="229"/>
      <c r="U679" s="217"/>
      <c r="V679" s="217"/>
      <c r="W679" s="218"/>
      <c r="X679" s="220"/>
    </row>
    <row r="680" spans="1:24" s="75" customFormat="1" ht="25.65" customHeight="1">
      <c r="A680" s="218"/>
      <c r="B680" s="221"/>
      <c r="C680" s="222"/>
      <c r="D680" s="223"/>
      <c r="E680" s="223"/>
      <c r="F680" s="223"/>
      <c r="G680" s="224"/>
      <c r="H680" s="209"/>
      <c r="I680" s="209"/>
      <c r="J680" s="209"/>
      <c r="K680" s="171"/>
      <c r="L680" s="225"/>
      <c r="M680" s="225"/>
      <c r="N680" s="230"/>
      <c r="O680" s="228"/>
      <c r="P680" s="231"/>
      <c r="Q680" s="228"/>
      <c r="R680" s="231"/>
      <c r="S680" s="229"/>
      <c r="T680" s="229"/>
      <c r="U680" s="217"/>
      <c r="V680" s="217"/>
      <c r="W680" s="218"/>
      <c r="X680" s="220"/>
    </row>
    <row r="681" spans="1:24" s="75" customFormat="1" ht="25.65" customHeight="1">
      <c r="A681" s="218"/>
      <c r="B681" s="221"/>
      <c r="C681" s="222"/>
      <c r="D681" s="223"/>
      <c r="E681" s="223"/>
      <c r="F681" s="223"/>
      <c r="G681" s="224"/>
      <c r="H681" s="209"/>
      <c r="I681" s="209"/>
      <c r="J681" s="209"/>
      <c r="K681" s="171"/>
      <c r="L681" s="225"/>
      <c r="M681" s="225"/>
      <c r="N681" s="230"/>
      <c r="O681" s="228"/>
      <c r="P681" s="231"/>
      <c r="Q681" s="228"/>
      <c r="R681" s="231"/>
      <c r="S681" s="229"/>
      <c r="T681" s="229"/>
      <c r="U681" s="217"/>
      <c r="V681" s="217"/>
      <c r="W681" s="218"/>
      <c r="X681" s="220"/>
    </row>
    <row r="682" spans="1:24" s="75" customFormat="1" ht="25.65" customHeight="1">
      <c r="A682" s="218"/>
      <c r="B682" s="221"/>
      <c r="C682" s="222"/>
      <c r="D682" s="223"/>
      <c r="E682" s="223"/>
      <c r="F682" s="223"/>
      <c r="G682" s="224"/>
      <c r="H682" s="209"/>
      <c r="I682" s="209"/>
      <c r="J682" s="209"/>
      <c r="K682" s="171"/>
      <c r="L682" s="225"/>
      <c r="M682" s="225"/>
      <c r="N682" s="230"/>
      <c r="O682" s="228"/>
      <c r="P682" s="231"/>
      <c r="Q682" s="228"/>
      <c r="R682" s="231"/>
      <c r="S682" s="229"/>
      <c r="T682" s="229"/>
      <c r="U682" s="217"/>
      <c r="V682" s="217"/>
      <c r="W682" s="218"/>
      <c r="X682" s="220"/>
    </row>
    <row r="683" spans="1:24" s="75" customFormat="1" ht="25.65" customHeight="1">
      <c r="A683" s="218"/>
      <c r="B683" s="221"/>
      <c r="C683" s="222"/>
      <c r="D683" s="223"/>
      <c r="E683" s="223"/>
      <c r="F683" s="223"/>
      <c r="G683" s="224"/>
      <c r="H683" s="209"/>
      <c r="I683" s="209"/>
      <c r="J683" s="209"/>
      <c r="K683" s="171"/>
      <c r="L683" s="225"/>
      <c r="M683" s="225"/>
      <c r="N683" s="230"/>
      <c r="O683" s="228"/>
      <c r="P683" s="231"/>
      <c r="Q683" s="228"/>
      <c r="R683" s="231"/>
      <c r="S683" s="229"/>
      <c r="T683" s="229"/>
      <c r="U683" s="217"/>
      <c r="V683" s="217"/>
      <c r="W683" s="218"/>
      <c r="X683" s="220"/>
    </row>
    <row r="684" spans="1:24" s="75" customFormat="1" ht="25.65" customHeight="1">
      <c r="A684" s="218"/>
      <c r="B684" s="221"/>
      <c r="C684" s="222"/>
      <c r="D684" s="223"/>
      <c r="E684" s="223"/>
      <c r="F684" s="223"/>
      <c r="G684" s="224"/>
      <c r="H684" s="209"/>
      <c r="I684" s="209"/>
      <c r="J684" s="209"/>
      <c r="K684" s="171"/>
      <c r="L684" s="225"/>
      <c r="M684" s="225"/>
      <c r="N684" s="230"/>
      <c r="O684" s="228"/>
      <c r="P684" s="231"/>
      <c r="Q684" s="228"/>
      <c r="R684" s="231"/>
      <c r="S684" s="229"/>
      <c r="T684" s="229"/>
      <c r="U684" s="217"/>
      <c r="V684" s="217"/>
      <c r="W684" s="218"/>
      <c r="X684" s="220"/>
    </row>
    <row r="685" spans="1:24" s="75" customFormat="1" ht="25.65" customHeight="1">
      <c r="A685" s="218"/>
      <c r="B685" s="221"/>
      <c r="C685" s="222"/>
      <c r="D685" s="223"/>
      <c r="E685" s="223"/>
      <c r="F685" s="223"/>
      <c r="G685" s="224"/>
      <c r="H685" s="209"/>
      <c r="I685" s="209"/>
      <c r="J685" s="209"/>
      <c r="K685" s="171"/>
      <c r="L685" s="225"/>
      <c r="M685" s="225"/>
      <c r="N685" s="230"/>
      <c r="O685" s="228"/>
      <c r="P685" s="231"/>
      <c r="Q685" s="228"/>
      <c r="R685" s="231"/>
      <c r="S685" s="229"/>
      <c r="T685" s="229"/>
      <c r="U685" s="217"/>
      <c r="V685" s="217"/>
      <c r="W685" s="218"/>
      <c r="X685" s="220"/>
    </row>
    <row r="686" spans="1:24" s="75" customFormat="1" ht="25.65" customHeight="1">
      <c r="A686" s="218"/>
      <c r="B686" s="221"/>
      <c r="C686" s="222"/>
      <c r="D686" s="223"/>
      <c r="E686" s="223"/>
      <c r="F686" s="223"/>
      <c r="G686" s="224"/>
      <c r="H686" s="209"/>
      <c r="I686" s="209"/>
      <c r="J686" s="209"/>
      <c r="K686" s="171"/>
      <c r="L686" s="225"/>
      <c r="M686" s="225"/>
      <c r="N686" s="230"/>
      <c r="O686" s="228"/>
      <c r="P686" s="231"/>
      <c r="Q686" s="228"/>
      <c r="R686" s="231"/>
      <c r="S686" s="229"/>
      <c r="T686" s="229"/>
      <c r="U686" s="217"/>
      <c r="V686" s="217"/>
      <c r="W686" s="218"/>
      <c r="X686" s="220"/>
    </row>
    <row r="687" spans="1:24" s="75" customFormat="1" ht="25.65" customHeight="1">
      <c r="A687" s="218"/>
      <c r="B687" s="221"/>
      <c r="C687" s="222"/>
      <c r="D687" s="223"/>
      <c r="E687" s="223"/>
      <c r="F687" s="223"/>
      <c r="G687" s="224"/>
      <c r="H687" s="209"/>
      <c r="I687" s="209"/>
      <c r="J687" s="209"/>
      <c r="K687" s="171"/>
      <c r="L687" s="225"/>
      <c r="M687" s="225"/>
      <c r="N687" s="230"/>
      <c r="O687" s="228"/>
      <c r="P687" s="231"/>
      <c r="Q687" s="228"/>
      <c r="R687" s="231"/>
      <c r="S687" s="229"/>
      <c r="T687" s="229"/>
      <c r="U687" s="217"/>
      <c r="V687" s="217"/>
      <c r="W687" s="218"/>
      <c r="X687" s="220"/>
    </row>
    <row r="688" spans="1:24" s="75" customFormat="1" ht="25.65" customHeight="1">
      <c r="A688" s="218"/>
      <c r="B688" s="221"/>
      <c r="C688" s="222"/>
      <c r="D688" s="223"/>
      <c r="E688" s="223"/>
      <c r="F688" s="223"/>
      <c r="G688" s="224"/>
      <c r="H688" s="209"/>
      <c r="I688" s="209"/>
      <c r="J688" s="209"/>
      <c r="K688" s="171"/>
      <c r="L688" s="225"/>
      <c r="M688" s="225"/>
      <c r="N688" s="230"/>
      <c r="O688" s="228"/>
      <c r="P688" s="231"/>
      <c r="Q688" s="228"/>
      <c r="R688" s="231"/>
      <c r="S688" s="229"/>
      <c r="T688" s="229"/>
      <c r="U688" s="217"/>
      <c r="V688" s="217"/>
      <c r="W688" s="218"/>
      <c r="X688" s="220"/>
    </row>
    <row r="689" spans="1:24" s="75" customFormat="1" ht="25.65" customHeight="1">
      <c r="A689" s="218"/>
      <c r="B689" s="221"/>
      <c r="C689" s="222"/>
      <c r="D689" s="223"/>
      <c r="E689" s="223"/>
      <c r="F689" s="223"/>
      <c r="G689" s="224"/>
      <c r="H689" s="209"/>
      <c r="I689" s="209"/>
      <c r="J689" s="209"/>
      <c r="K689" s="171"/>
      <c r="L689" s="225"/>
      <c r="M689" s="225"/>
      <c r="N689" s="230"/>
      <c r="O689" s="228"/>
      <c r="P689" s="231"/>
      <c r="Q689" s="228"/>
      <c r="R689" s="231"/>
      <c r="S689" s="229"/>
      <c r="T689" s="229"/>
      <c r="U689" s="217"/>
      <c r="V689" s="217"/>
      <c r="W689" s="218"/>
      <c r="X689" s="220"/>
    </row>
    <row r="690" spans="1:24" s="75" customFormat="1" ht="25.65" customHeight="1">
      <c r="A690" s="218"/>
      <c r="B690" s="221"/>
      <c r="C690" s="222"/>
      <c r="D690" s="223"/>
      <c r="E690" s="223"/>
      <c r="F690" s="223"/>
      <c r="G690" s="224"/>
      <c r="H690" s="209"/>
      <c r="I690" s="209"/>
      <c r="J690" s="209"/>
      <c r="K690" s="171"/>
      <c r="L690" s="225"/>
      <c r="M690" s="225"/>
      <c r="N690" s="230"/>
      <c r="O690" s="228"/>
      <c r="P690" s="231"/>
      <c r="Q690" s="228"/>
      <c r="R690" s="231"/>
      <c r="S690" s="229"/>
      <c r="T690" s="229"/>
      <c r="U690" s="217"/>
      <c r="V690" s="217"/>
      <c r="W690" s="218"/>
      <c r="X690" s="220"/>
    </row>
    <row r="691" spans="1:24" s="75" customFormat="1" ht="25.65" customHeight="1">
      <c r="A691" s="218"/>
      <c r="B691" s="221"/>
      <c r="C691" s="222"/>
      <c r="D691" s="223"/>
      <c r="E691" s="223"/>
      <c r="F691" s="223"/>
      <c r="G691" s="224"/>
      <c r="H691" s="209"/>
      <c r="I691" s="209"/>
      <c r="J691" s="209"/>
      <c r="K691" s="171"/>
      <c r="L691" s="225"/>
      <c r="M691" s="225"/>
      <c r="N691" s="230"/>
      <c r="O691" s="228"/>
      <c r="P691" s="231"/>
      <c r="Q691" s="228"/>
      <c r="R691" s="231"/>
      <c r="S691" s="229"/>
      <c r="T691" s="229"/>
      <c r="U691" s="217"/>
      <c r="V691" s="217"/>
      <c r="W691" s="218"/>
      <c r="X691" s="220"/>
    </row>
    <row r="692" spans="1:24" s="75" customFormat="1" ht="25.65" customHeight="1">
      <c r="A692" s="218"/>
      <c r="B692" s="221"/>
      <c r="C692" s="222"/>
      <c r="D692" s="223"/>
      <c r="E692" s="223"/>
      <c r="F692" s="223"/>
      <c r="G692" s="224"/>
      <c r="H692" s="209"/>
      <c r="I692" s="209"/>
      <c r="J692" s="209"/>
      <c r="K692" s="171"/>
      <c r="L692" s="225"/>
      <c r="M692" s="225"/>
      <c r="N692" s="230"/>
      <c r="O692" s="228"/>
      <c r="P692" s="231"/>
      <c r="Q692" s="228"/>
      <c r="R692" s="231"/>
      <c r="S692" s="229"/>
      <c r="T692" s="229"/>
      <c r="U692" s="217"/>
      <c r="V692" s="217"/>
      <c r="W692" s="218"/>
      <c r="X692" s="220"/>
    </row>
    <row r="693" spans="1:24" s="75" customFormat="1" ht="25.65" customHeight="1">
      <c r="A693" s="218"/>
      <c r="B693" s="221"/>
      <c r="C693" s="222"/>
      <c r="D693" s="223"/>
      <c r="E693" s="223"/>
      <c r="F693" s="223"/>
      <c r="G693" s="224"/>
      <c r="H693" s="209"/>
      <c r="I693" s="209"/>
      <c r="J693" s="209"/>
      <c r="K693" s="171"/>
      <c r="L693" s="225"/>
      <c r="M693" s="225"/>
      <c r="N693" s="230"/>
      <c r="O693" s="228"/>
      <c r="P693" s="231"/>
      <c r="Q693" s="228"/>
      <c r="R693" s="231"/>
      <c r="S693" s="229"/>
      <c r="T693" s="229"/>
      <c r="U693" s="217"/>
      <c r="V693" s="217"/>
      <c r="W693" s="218"/>
      <c r="X693" s="220"/>
    </row>
    <row r="694" spans="1:24" s="75" customFormat="1" ht="25.65" customHeight="1">
      <c r="A694" s="218"/>
      <c r="B694" s="221"/>
      <c r="C694" s="222"/>
      <c r="D694" s="223"/>
      <c r="E694" s="223"/>
      <c r="F694" s="223"/>
      <c r="G694" s="224"/>
      <c r="H694" s="209"/>
      <c r="I694" s="209"/>
      <c r="J694" s="209"/>
      <c r="K694" s="171"/>
      <c r="L694" s="225"/>
      <c r="M694" s="225"/>
      <c r="N694" s="230"/>
      <c r="O694" s="228"/>
      <c r="P694" s="231"/>
      <c r="Q694" s="228"/>
      <c r="R694" s="231"/>
      <c r="S694" s="229"/>
      <c r="T694" s="229"/>
      <c r="U694" s="217"/>
      <c r="V694" s="217"/>
      <c r="W694" s="218"/>
      <c r="X694" s="220"/>
    </row>
    <row r="695" spans="1:24" s="75" customFormat="1" ht="25.65" customHeight="1">
      <c r="A695" s="218"/>
      <c r="B695" s="221"/>
      <c r="C695" s="222"/>
      <c r="D695" s="223"/>
      <c r="E695" s="223"/>
      <c r="F695" s="223"/>
      <c r="G695" s="224"/>
      <c r="H695" s="209"/>
      <c r="I695" s="209"/>
      <c r="J695" s="209"/>
      <c r="K695" s="171"/>
      <c r="L695" s="225"/>
      <c r="M695" s="225"/>
      <c r="N695" s="230"/>
      <c r="O695" s="228"/>
      <c r="P695" s="231"/>
      <c r="Q695" s="228"/>
      <c r="R695" s="231"/>
      <c r="S695" s="229"/>
      <c r="T695" s="229"/>
      <c r="U695" s="217"/>
      <c r="V695" s="217"/>
      <c r="W695" s="218"/>
      <c r="X695" s="220"/>
    </row>
    <row r="696" spans="1:24" s="75" customFormat="1" ht="25.65" customHeight="1">
      <c r="A696" s="218"/>
      <c r="B696" s="221"/>
      <c r="C696" s="222"/>
      <c r="D696" s="223"/>
      <c r="E696" s="223"/>
      <c r="F696" s="223"/>
      <c r="G696" s="224"/>
      <c r="H696" s="209"/>
      <c r="I696" s="209"/>
      <c r="J696" s="209"/>
      <c r="K696" s="171"/>
      <c r="L696" s="225"/>
      <c r="M696" s="225"/>
      <c r="N696" s="230"/>
      <c r="O696" s="228"/>
      <c r="P696" s="231"/>
      <c r="Q696" s="228"/>
      <c r="R696" s="231"/>
      <c r="S696" s="229"/>
      <c r="T696" s="229"/>
      <c r="U696" s="217"/>
      <c r="V696" s="217"/>
      <c r="W696" s="218"/>
      <c r="X696" s="220"/>
    </row>
    <row r="697" spans="1:24" s="75" customFormat="1" ht="25.65" customHeight="1">
      <c r="A697" s="218"/>
      <c r="B697" s="221"/>
      <c r="C697" s="222"/>
      <c r="D697" s="223"/>
      <c r="E697" s="223"/>
      <c r="F697" s="223"/>
      <c r="G697" s="224"/>
      <c r="H697" s="209"/>
      <c r="I697" s="209"/>
      <c r="J697" s="209"/>
      <c r="K697" s="171"/>
      <c r="L697" s="225"/>
      <c r="M697" s="225"/>
      <c r="N697" s="230"/>
      <c r="O697" s="228"/>
      <c r="P697" s="231"/>
      <c r="Q697" s="228"/>
      <c r="R697" s="231"/>
      <c r="S697" s="229"/>
      <c r="T697" s="229"/>
      <c r="U697" s="217"/>
      <c r="V697" s="217"/>
      <c r="W697" s="218"/>
      <c r="X697" s="220"/>
    </row>
    <row r="698" spans="1:24" s="75" customFormat="1" ht="25.65" customHeight="1">
      <c r="A698" s="218"/>
      <c r="B698" s="221"/>
      <c r="C698" s="222"/>
      <c r="D698" s="223"/>
      <c r="E698" s="223"/>
      <c r="F698" s="223"/>
      <c r="G698" s="224"/>
      <c r="H698" s="209"/>
      <c r="I698" s="209"/>
      <c r="J698" s="209"/>
      <c r="K698" s="171"/>
      <c r="L698" s="225"/>
      <c r="M698" s="225"/>
      <c r="N698" s="230"/>
      <c r="O698" s="228"/>
      <c r="P698" s="231"/>
      <c r="Q698" s="228"/>
      <c r="R698" s="231"/>
      <c r="S698" s="229"/>
      <c r="T698" s="229"/>
      <c r="U698" s="217"/>
      <c r="V698" s="217"/>
      <c r="W698" s="218"/>
      <c r="X698" s="220"/>
    </row>
    <row r="699" spans="1:24" s="75" customFormat="1" ht="25.65" customHeight="1">
      <c r="A699" s="218"/>
      <c r="B699" s="221"/>
      <c r="C699" s="222"/>
      <c r="D699" s="223"/>
      <c r="E699" s="223"/>
      <c r="F699" s="223"/>
      <c r="G699" s="224"/>
      <c r="H699" s="209"/>
      <c r="I699" s="209"/>
      <c r="J699" s="209"/>
      <c r="K699" s="171"/>
      <c r="L699" s="225"/>
      <c r="M699" s="225"/>
      <c r="N699" s="230"/>
      <c r="O699" s="228"/>
      <c r="P699" s="231"/>
      <c r="Q699" s="228"/>
      <c r="R699" s="231"/>
      <c r="S699" s="229"/>
      <c r="T699" s="229"/>
      <c r="U699" s="217"/>
      <c r="V699" s="217"/>
      <c r="W699" s="218"/>
      <c r="X699" s="220"/>
    </row>
    <row r="700" spans="1:24" s="75" customFormat="1" ht="25.65" customHeight="1">
      <c r="A700" s="218"/>
      <c r="B700" s="221"/>
      <c r="C700" s="222"/>
      <c r="D700" s="223"/>
      <c r="E700" s="223"/>
      <c r="F700" s="223"/>
      <c r="G700" s="224"/>
      <c r="H700" s="209"/>
      <c r="I700" s="209"/>
      <c r="J700" s="209"/>
      <c r="K700" s="171"/>
      <c r="L700" s="226"/>
      <c r="M700" s="225"/>
      <c r="N700" s="218"/>
      <c r="O700" s="227"/>
      <c r="P700" s="228"/>
      <c r="Q700" s="227"/>
      <c r="R700" s="228"/>
      <c r="S700" s="229"/>
      <c r="T700" s="229"/>
      <c r="U700" s="217"/>
      <c r="V700" s="217"/>
      <c r="W700" s="218"/>
      <c r="X700" s="220"/>
    </row>
    <row r="701" spans="1:24" s="118" customFormat="1" ht="24" customHeight="1">
      <c r="A701" s="309" t="s">
        <v>238</v>
      </c>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row>
    <row r="702" spans="1:24" s="118" customFormat="1" ht="24" customHeight="1">
      <c r="A702" s="310" t="s">
        <v>239</v>
      </c>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row>
    <row r="703" spans="1:24" s="118" customFormat="1" ht="12.75" customHeight="1">
      <c r="A703" s="312"/>
      <c r="B703" s="313"/>
      <c r="C703" s="313"/>
      <c r="D703" s="313"/>
      <c r="E703" s="313"/>
      <c r="F703" s="313"/>
      <c r="G703" s="313"/>
      <c r="H703" s="313"/>
      <c r="I703" s="313"/>
      <c r="J703" s="313"/>
      <c r="K703" s="313"/>
      <c r="L703" s="313"/>
      <c r="M703" s="313"/>
      <c r="N703" s="313"/>
      <c r="O703" s="313"/>
      <c r="P703" s="313"/>
      <c r="Q703" s="313"/>
      <c r="R703" s="313"/>
      <c r="S703" s="313"/>
      <c r="T703" s="313"/>
      <c r="U703" s="313"/>
      <c r="V703" s="313"/>
      <c r="W703" s="313"/>
      <c r="X703" s="313"/>
    </row>
    <row r="704" spans="1:24" s="118" customFormat="1" ht="12.75" customHeight="1">
      <c r="A704" s="312"/>
      <c r="B704" s="313"/>
      <c r="C704" s="313"/>
      <c r="D704" s="313"/>
      <c r="E704" s="313"/>
      <c r="F704" s="313"/>
      <c r="G704" s="313"/>
      <c r="H704" s="313"/>
      <c r="I704" s="313"/>
      <c r="J704" s="313"/>
      <c r="K704" s="313"/>
      <c r="L704" s="313"/>
      <c r="M704" s="313"/>
      <c r="N704" s="313"/>
      <c r="O704" s="313"/>
      <c r="P704" s="313"/>
      <c r="Q704" s="313"/>
      <c r="R704" s="313"/>
      <c r="S704" s="313"/>
      <c r="T704" s="313"/>
      <c r="U704" s="313"/>
      <c r="V704" s="313"/>
      <c r="W704" s="313"/>
      <c r="X704" s="313"/>
    </row>
    <row r="705" spans="1:24" s="75" customFormat="1" ht="12.75" customHeight="1">
      <c r="A705" s="314"/>
      <c r="B705" s="317" t="s">
        <v>213</v>
      </c>
      <c r="C705" s="318"/>
      <c r="D705" s="318"/>
      <c r="E705" s="318"/>
      <c r="F705" s="318"/>
      <c r="G705" s="318"/>
      <c r="H705" s="318"/>
      <c r="I705" s="318"/>
      <c r="J705" s="318"/>
      <c r="K705" s="318"/>
      <c r="L705" s="318"/>
      <c r="M705" s="318"/>
      <c r="N705" s="318"/>
      <c r="O705" s="318"/>
      <c r="P705" s="318"/>
      <c r="Q705" s="318"/>
      <c r="R705" s="318"/>
      <c r="S705" s="318"/>
      <c r="T705" s="318"/>
      <c r="U705" s="318"/>
      <c r="V705" s="318"/>
      <c r="W705" s="318"/>
      <c r="X705" s="318"/>
    </row>
    <row r="706" spans="1:24" s="75" customFormat="1" ht="10.199999999999999">
      <c r="A706" s="315"/>
      <c r="B706" s="319" t="s">
        <v>124</v>
      </c>
      <c r="C706" s="320"/>
      <c r="D706" s="320"/>
      <c r="E706" s="320"/>
      <c r="F706" s="320"/>
      <c r="G706" s="320"/>
      <c r="H706" s="320"/>
      <c r="I706" s="320"/>
      <c r="J706" s="320"/>
      <c r="K706" s="320"/>
      <c r="L706" s="320"/>
      <c r="M706" s="320"/>
      <c r="N706" s="320"/>
      <c r="O706" s="320"/>
      <c r="P706" s="320"/>
      <c r="Q706" s="320"/>
      <c r="R706" s="320"/>
      <c r="S706" s="320"/>
      <c r="T706" s="320"/>
      <c r="U706" s="320"/>
      <c r="V706" s="320"/>
      <c r="W706" s="320"/>
      <c r="X706" s="320"/>
    </row>
    <row r="707" spans="1:24" s="75" customFormat="1" ht="10.199999999999999">
      <c r="A707" s="316"/>
      <c r="B707" s="319" t="s">
        <v>125</v>
      </c>
      <c r="C707" s="320"/>
      <c r="D707" s="320"/>
      <c r="E707" s="320"/>
      <c r="F707" s="320"/>
      <c r="G707" s="320"/>
      <c r="H707" s="320"/>
      <c r="I707" s="320"/>
      <c r="J707" s="320"/>
      <c r="K707" s="320"/>
      <c r="L707" s="320"/>
      <c r="M707" s="320"/>
      <c r="N707" s="320"/>
      <c r="O707" s="320"/>
      <c r="P707" s="320"/>
      <c r="Q707" s="320"/>
      <c r="R707" s="320"/>
      <c r="S707" s="320"/>
      <c r="T707" s="320"/>
      <c r="U707" s="320"/>
      <c r="V707" s="320"/>
      <c r="W707" s="320"/>
      <c r="X707" s="320"/>
    </row>
    <row r="708" spans="1:24" s="75" customFormat="1" ht="15" customHeight="1">
      <c r="A708" s="172"/>
      <c r="B708" s="1"/>
      <c r="C708" s="9"/>
      <c r="D708" s="1"/>
      <c r="E708" s="1"/>
      <c r="F708" s="325" t="s">
        <v>126</v>
      </c>
      <c r="G708" s="325"/>
      <c r="H708" s="9"/>
      <c r="I708" s="9"/>
      <c r="J708" s="9"/>
      <c r="K708" s="9"/>
      <c r="L708" s="9"/>
      <c r="M708" s="218" t="s">
        <v>127</v>
      </c>
      <c r="N708" s="306"/>
      <c r="O708" s="306"/>
      <c r="P708" s="306"/>
      <c r="Q708" s="218" t="s">
        <v>130</v>
      </c>
      <c r="R708" s="219"/>
      <c r="S708" s="321" t="s">
        <v>132</v>
      </c>
      <c r="T708" s="322"/>
      <c r="U708" s="9"/>
      <c r="V708" s="9"/>
      <c r="W708" s="9"/>
      <c r="X708" s="10"/>
    </row>
    <row r="709" spans="1:24" s="76" customFormat="1" ht="12.75" customHeight="1">
      <c r="A709" s="173"/>
      <c r="B709" s="2"/>
      <c r="C709" s="12"/>
      <c r="D709" s="2"/>
      <c r="E709" s="2"/>
      <c r="F709" s="326"/>
      <c r="G709" s="326"/>
      <c r="H709" s="100"/>
      <c r="I709" s="100"/>
      <c r="J709" s="100"/>
      <c r="K709" s="100"/>
      <c r="L709" s="12"/>
      <c r="M709" s="218">
        <v>0</v>
      </c>
      <c r="N709" s="306"/>
      <c r="O709" s="306"/>
      <c r="P709" s="306"/>
      <c r="Q709" s="218" t="s">
        <v>345</v>
      </c>
      <c r="R709" s="219"/>
      <c r="S709" s="323"/>
      <c r="T709" s="324"/>
      <c r="U709" s="12"/>
      <c r="V709" s="12"/>
      <c r="W709" s="12"/>
      <c r="X709" s="13"/>
    </row>
    <row r="710" spans="1:24" s="76" customFormat="1" ht="12.75" customHeight="1">
      <c r="A710" s="173"/>
      <c r="B710" s="2"/>
      <c r="C710" s="12"/>
      <c r="D710" s="2"/>
      <c r="E710" s="2"/>
      <c r="F710" s="12"/>
      <c r="G710" s="308"/>
      <c r="H710" s="308"/>
      <c r="I710" s="308"/>
      <c r="J710" s="308"/>
      <c r="K710" s="308"/>
      <c r="L710" s="308"/>
      <c r="M710" s="218"/>
      <c r="N710" s="306"/>
      <c r="O710" s="306"/>
      <c r="P710" s="306"/>
      <c r="Q710" s="218"/>
      <c r="R710" s="219"/>
      <c r="S710" s="94"/>
      <c r="T710" s="12"/>
      <c r="U710" s="12"/>
      <c r="V710" s="12"/>
      <c r="W710" s="12"/>
      <c r="X710" s="13"/>
    </row>
    <row r="711" spans="1:24" s="76" customFormat="1" ht="12.75" customHeight="1">
      <c r="A711" s="173"/>
      <c r="B711" s="98" t="s">
        <v>209</v>
      </c>
      <c r="C711" s="88"/>
      <c r="D711" s="79"/>
      <c r="E711" s="88"/>
      <c r="F711" s="12"/>
      <c r="G711" s="12"/>
      <c r="H711" s="103"/>
      <c r="I711" s="103"/>
      <c r="J711" s="103"/>
      <c r="K711" s="103"/>
      <c r="L711" s="101"/>
      <c r="M711" s="218"/>
      <c r="N711" s="306"/>
      <c r="O711" s="306"/>
      <c r="P711" s="306"/>
      <c r="Q711" s="218"/>
      <c r="R711" s="219"/>
      <c r="S711" s="94"/>
      <c r="T711" s="12"/>
      <c r="U711" s="12"/>
      <c r="V711" s="12"/>
      <c r="W711" s="12"/>
      <c r="X711" s="13"/>
    </row>
    <row r="712" spans="1:24" s="76" customFormat="1" ht="12.75" customHeight="1">
      <c r="A712" s="173"/>
      <c r="B712" s="99" t="s">
        <v>210</v>
      </c>
      <c r="C712" s="88"/>
      <c r="D712" s="88"/>
      <c r="E712" s="88"/>
      <c r="F712" s="12"/>
      <c r="G712" s="12"/>
      <c r="H712" s="103"/>
      <c r="I712" s="103"/>
      <c r="J712" s="103"/>
      <c r="K712" s="103"/>
      <c r="L712" s="88"/>
      <c r="M712" s="218"/>
      <c r="N712" s="305"/>
      <c r="O712" s="305"/>
      <c r="P712" s="305"/>
      <c r="Q712" s="218"/>
      <c r="R712" s="219"/>
      <c r="S712" s="67"/>
      <c r="T712" s="68"/>
      <c r="U712" s="68"/>
      <c r="V712" s="68"/>
      <c r="W712" s="68"/>
      <c r="X712" s="69"/>
    </row>
    <row r="713" spans="1:24" s="76" customFormat="1" ht="12.75" customHeight="1">
      <c r="A713" s="173"/>
      <c r="B713" s="99" t="s">
        <v>211</v>
      </c>
      <c r="C713" s="79"/>
      <c r="D713" s="88"/>
      <c r="E713" s="79"/>
      <c r="F713" s="12"/>
      <c r="G713" s="12"/>
      <c r="H713" s="103"/>
      <c r="I713" s="103"/>
      <c r="J713" s="103"/>
      <c r="K713" s="103"/>
      <c r="L713" s="88"/>
      <c r="M713" s="218"/>
      <c r="N713" s="305"/>
      <c r="O713" s="305"/>
      <c r="P713" s="305"/>
      <c r="Q713" s="218"/>
      <c r="R713" s="219"/>
      <c r="S713" s="95" t="s">
        <v>26</v>
      </c>
      <c r="T713" s="96"/>
      <c r="U713" s="96"/>
      <c r="V713" s="96"/>
      <c r="W713" s="96"/>
      <c r="X713" s="97"/>
    </row>
    <row r="714" spans="1:24" s="76" customFormat="1" ht="12.75" customHeight="1">
      <c r="A714" s="173"/>
      <c r="B714" s="99" t="s">
        <v>212</v>
      </c>
      <c r="C714" s="79"/>
      <c r="D714" s="88"/>
      <c r="E714" s="79"/>
      <c r="F714" s="12"/>
      <c r="G714" s="12"/>
      <c r="H714" s="2"/>
      <c r="I714" s="2"/>
      <c r="J714" s="2"/>
      <c r="K714" s="2"/>
      <c r="L714" s="2"/>
      <c r="M714" s="218"/>
      <c r="N714" s="305"/>
      <c r="O714" s="305"/>
      <c r="P714" s="305"/>
      <c r="Q714" s="218"/>
      <c r="R714" s="219"/>
      <c r="S714" s="12"/>
      <c r="T714" s="12"/>
      <c r="U714" s="12"/>
      <c r="V714" s="12"/>
      <c r="W714" s="12"/>
      <c r="X714" s="13"/>
    </row>
    <row r="715" spans="1:24" s="76" customFormat="1" ht="12.75" customHeight="1">
      <c r="A715" s="174"/>
      <c r="B715" s="175"/>
      <c r="C715" s="68"/>
      <c r="D715" s="176"/>
      <c r="E715" s="175"/>
      <c r="F715" s="68"/>
      <c r="G715" s="68"/>
      <c r="H715" s="175"/>
      <c r="I715" s="175"/>
      <c r="J715" s="175"/>
      <c r="K715" s="175"/>
      <c r="L715" s="175"/>
      <c r="M715" s="218"/>
      <c r="N715" s="305"/>
      <c r="O715" s="305"/>
      <c r="P715" s="305"/>
      <c r="Q715" s="218"/>
      <c r="R715" s="219"/>
      <c r="S715" s="68"/>
      <c r="T715" s="68"/>
      <c r="U715" s="68"/>
      <c r="V715" s="68"/>
      <c r="W715" s="68"/>
      <c r="X715" s="69"/>
    </row>
    <row r="716" spans="1:24" s="76" customFormat="1" ht="12.75" customHeight="1">
      <c r="A716"/>
      <c r="B716"/>
      <c r="C716"/>
      <c r="D716"/>
      <c r="E716"/>
      <c r="F716"/>
      <c r="G716"/>
      <c r="H716"/>
      <c r="I716"/>
      <c r="J716"/>
      <c r="K716"/>
      <c r="L716"/>
      <c r="M716"/>
      <c r="N716"/>
      <c r="O716"/>
      <c r="P716"/>
      <c r="Q716"/>
      <c r="R716"/>
      <c r="S716"/>
      <c r="T716"/>
      <c r="U716"/>
      <c r="V716"/>
      <c r="W716"/>
      <c r="X716"/>
    </row>
    <row r="717" spans="1:24" s="76" customFormat="1" ht="12.75" customHeight="1">
      <c r="A717"/>
      <c r="B717"/>
      <c r="C717"/>
      <c r="D717"/>
      <c r="E717"/>
      <c r="F717"/>
      <c r="G717"/>
      <c r="H717"/>
      <c r="I717"/>
      <c r="J717"/>
      <c r="K717"/>
      <c r="L717"/>
      <c r="M717"/>
      <c r="N717"/>
      <c r="O717"/>
      <c r="P717"/>
      <c r="Q717"/>
      <c r="R717"/>
      <c r="S717"/>
      <c r="T717"/>
      <c r="U717"/>
      <c r="V717"/>
      <c r="W717"/>
      <c r="X717"/>
    </row>
    <row r="718" spans="1:24" s="76" customFormat="1" ht="12.75" customHeight="1">
      <c r="A718"/>
      <c r="B718"/>
      <c r="C718"/>
      <c r="D718"/>
      <c r="E718"/>
      <c r="F718"/>
      <c r="G718"/>
      <c r="H718"/>
      <c r="I718"/>
      <c r="J718"/>
      <c r="K718"/>
      <c r="L718"/>
      <c r="M718"/>
      <c r="N718"/>
      <c r="O718"/>
      <c r="P718"/>
      <c r="Q718"/>
      <c r="R718"/>
      <c r="S718"/>
      <c r="T718"/>
      <c r="U718"/>
      <c r="V718"/>
      <c r="W718"/>
      <c r="X718"/>
    </row>
    <row r="719" spans="1:24" s="76" customFormat="1" ht="12.75" customHeight="1">
      <c r="A719"/>
      <c r="B719"/>
      <c r="C719"/>
      <c r="D719"/>
      <c r="E719"/>
      <c r="F719"/>
      <c r="G719"/>
      <c r="H719"/>
      <c r="I719"/>
      <c r="J719"/>
      <c r="K719"/>
      <c r="L719"/>
      <c r="M719"/>
      <c r="N719"/>
      <c r="O719"/>
      <c r="P719"/>
      <c r="Q719"/>
      <c r="R719"/>
      <c r="S719"/>
      <c r="T719"/>
      <c r="U719"/>
      <c r="V719"/>
      <c r="W719"/>
      <c r="X719"/>
    </row>
    <row r="720" spans="1:24" s="76" customFormat="1" ht="12.75" customHeight="1">
      <c r="A720"/>
      <c r="B720"/>
      <c r="C720"/>
      <c r="D720"/>
      <c r="E720"/>
      <c r="F720"/>
      <c r="G720"/>
      <c r="H720"/>
      <c r="I720"/>
      <c r="J720"/>
      <c r="K720"/>
      <c r="L720"/>
      <c r="M720"/>
      <c r="N720"/>
      <c r="O720"/>
      <c r="P720"/>
      <c r="Q720"/>
      <c r="R720"/>
      <c r="S720"/>
      <c r="T720"/>
      <c r="U720"/>
      <c r="V720"/>
      <c r="W720"/>
      <c r="X720"/>
    </row>
    <row r="721" spans="1:24" s="76" customFormat="1" ht="12.75" customHeight="1">
      <c r="A721"/>
      <c r="B721"/>
      <c r="C721"/>
      <c r="D721"/>
      <c r="E721"/>
      <c r="F721"/>
      <c r="G721"/>
      <c r="H721"/>
      <c r="I721"/>
      <c r="J721"/>
      <c r="K721"/>
      <c r="L721"/>
      <c r="M721"/>
      <c r="N721"/>
      <c r="O721"/>
      <c r="P721"/>
      <c r="Q721"/>
      <c r="R721"/>
      <c r="S721"/>
      <c r="T721"/>
      <c r="U721"/>
      <c r="V721"/>
      <c r="W721"/>
      <c r="X721"/>
    </row>
    <row r="722" spans="1:24" s="76" customFormat="1" ht="12.75" customHeight="1">
      <c r="A722"/>
      <c r="B722"/>
      <c r="C722" s="2"/>
      <c r="D722" s="2"/>
      <c r="E722" s="2"/>
      <c r="F722" s="12"/>
      <c r="G722" s="301"/>
      <c r="H722" s="301"/>
      <c r="I722" s="301"/>
      <c r="J722" s="301"/>
      <c r="K722" s="301"/>
      <c r="L722" s="301"/>
      <c r="M722" s="12"/>
      <c r="N722" s="302"/>
      <c r="O722" s="302"/>
      <c r="P722" s="302"/>
      <c r="Q722" s="302"/>
      <c r="R722" s="201"/>
      <c r="S722" s="302"/>
      <c r="T722" s="300"/>
      <c r="U722" s="300"/>
      <c r="V722" s="300"/>
      <c r="W722" s="300"/>
      <c r="X722" s="300"/>
    </row>
    <row r="723" spans="1:24" s="76" customFormat="1" ht="12.75" customHeight="1">
      <c r="A723"/>
      <c r="B723"/>
      <c r="C723" s="79"/>
      <c r="D723" s="2"/>
      <c r="E723" s="79"/>
      <c r="F723" s="79"/>
      <c r="G723" s="301"/>
      <c r="H723" s="301"/>
      <c r="I723" s="301"/>
      <c r="J723" s="301"/>
      <c r="K723" s="301"/>
      <c r="L723" s="301"/>
      <c r="M723" s="265"/>
      <c r="N723" s="298"/>
      <c r="O723" s="298"/>
      <c r="P723" s="298"/>
      <c r="Q723" s="298"/>
      <c r="R723" s="200"/>
      <c r="S723" s="298"/>
      <c r="T723" s="300"/>
      <c r="U723" s="300"/>
      <c r="V723" s="300"/>
      <c r="W723" s="300"/>
      <c r="X723" s="300"/>
    </row>
    <row r="724" spans="1:24" s="76" customFormat="1" ht="12.75" customHeight="1">
      <c r="A724"/>
      <c r="B724" s="307"/>
      <c r="C724" s="88"/>
      <c r="D724" s="2"/>
      <c r="E724" s="79"/>
      <c r="F724" s="88"/>
      <c r="H724" s="308"/>
      <c r="I724" s="308"/>
      <c r="J724" s="308"/>
      <c r="K724" s="308"/>
      <c r="L724" s="308"/>
      <c r="M724" s="308"/>
      <c r="N724" s="298"/>
      <c r="O724" s="298"/>
      <c r="P724" s="298"/>
      <c r="Q724" s="298"/>
      <c r="R724" s="200"/>
      <c r="S724" s="298"/>
      <c r="T724" s="303"/>
      <c r="U724" s="303"/>
      <c r="V724" s="303"/>
      <c r="W724" s="303"/>
      <c r="X724" s="303"/>
    </row>
    <row r="725" spans="1:24" s="76" customFormat="1" ht="12.75" customHeight="1">
      <c r="A725"/>
      <c r="B725" s="307"/>
      <c r="C725" s="88"/>
      <c r="D725" s="2"/>
      <c r="E725" s="98"/>
      <c r="F725" s="88"/>
      <c r="G725" s="304"/>
      <c r="H725" s="304"/>
      <c r="I725" s="304"/>
      <c r="J725" s="304"/>
      <c r="K725" s="304"/>
      <c r="L725" s="304"/>
      <c r="M725" s="304"/>
      <c r="N725" s="298"/>
      <c r="O725" s="298"/>
      <c r="P725" s="298"/>
      <c r="Q725" s="298"/>
      <c r="R725" s="200"/>
      <c r="S725" s="298"/>
      <c r="T725" s="303"/>
      <c r="U725" s="303"/>
      <c r="V725" s="303"/>
      <c r="W725" s="303"/>
      <c r="X725" s="303"/>
    </row>
    <row r="726" spans="1:24" s="76" customFormat="1" ht="12.75" customHeight="1">
      <c r="A726"/>
      <c r="B726" s="140"/>
      <c r="C726" s="88"/>
      <c r="D726" s="2"/>
      <c r="E726" s="99"/>
      <c r="F726" s="88"/>
      <c r="G726" s="304"/>
      <c r="H726" s="304"/>
      <c r="I726" s="304"/>
      <c r="J726" s="304"/>
      <c r="K726" s="304"/>
      <c r="L726" s="304"/>
      <c r="M726" s="304"/>
      <c r="N726" s="298"/>
      <c r="O726" s="298"/>
      <c r="P726" s="298"/>
      <c r="Q726" s="298"/>
      <c r="R726" s="200"/>
      <c r="S726" s="298"/>
      <c r="T726" s="303"/>
      <c r="U726" s="303"/>
      <c r="V726" s="303"/>
      <c r="W726" s="303"/>
      <c r="X726" s="303"/>
    </row>
    <row r="727" spans="1:24" s="76" customFormat="1" ht="12.75" customHeight="1">
      <c r="A727"/>
      <c r="B727" s="140"/>
      <c r="C727" s="79"/>
      <c r="D727" s="2"/>
      <c r="E727" s="99"/>
      <c r="F727" s="79"/>
      <c r="G727" s="304"/>
      <c r="H727" s="304"/>
      <c r="I727" s="304"/>
      <c r="J727" s="304"/>
      <c r="K727" s="304"/>
      <c r="L727" s="304"/>
      <c r="M727" s="304"/>
      <c r="N727" s="298"/>
      <c r="O727" s="298"/>
      <c r="P727" s="298"/>
      <c r="Q727" s="298"/>
      <c r="R727" s="200"/>
      <c r="S727" s="298"/>
      <c r="T727" s="299"/>
      <c r="U727" s="299"/>
      <c r="V727" s="299"/>
      <c r="W727" s="299"/>
      <c r="X727" s="299"/>
    </row>
    <row r="728" spans="1:24" s="76" customFormat="1" ht="12.75" customHeight="1">
      <c r="A728"/>
      <c r="B728" s="140"/>
      <c r="C728" s="79"/>
      <c r="D728" s="2"/>
      <c r="E728" s="99"/>
      <c r="F728" s="79"/>
      <c r="G728" s="304"/>
      <c r="H728" s="304"/>
      <c r="I728" s="304"/>
      <c r="J728" s="304"/>
      <c r="K728" s="304"/>
      <c r="L728" s="304"/>
      <c r="M728" s="304"/>
      <c r="N728" s="298"/>
      <c r="O728" s="298"/>
      <c r="P728" s="298"/>
      <c r="Q728" s="298"/>
      <c r="R728" s="200"/>
      <c r="S728" s="298"/>
      <c r="T728" s="292"/>
      <c r="U728" s="292"/>
      <c r="V728" s="292"/>
      <c r="W728" s="292"/>
      <c r="X728" s="292"/>
    </row>
    <row r="729" spans="1:24" s="76" customFormat="1" ht="12.75" customHeight="1">
      <c r="A729"/>
      <c r="B729" s="140"/>
      <c r="C729" s="2"/>
      <c r="D729" s="2"/>
      <c r="E729" s="169"/>
      <c r="F729" s="12"/>
      <c r="G729" s="304"/>
      <c r="H729" s="304"/>
      <c r="I729" s="304"/>
      <c r="J729" s="304"/>
      <c r="K729" s="304"/>
      <c r="L729" s="304"/>
      <c r="M729" s="304"/>
      <c r="N729" s="298"/>
      <c r="O729" s="298"/>
      <c r="P729" s="298"/>
      <c r="Q729" s="298"/>
      <c r="R729" s="200"/>
      <c r="S729" s="298"/>
      <c r="T729" s="292"/>
      <c r="U729" s="292"/>
      <c r="V729" s="292"/>
      <c r="W729" s="292"/>
      <c r="X729" s="292"/>
    </row>
    <row r="730" spans="1:24" s="76" customFormat="1" ht="12.75" customHeight="1">
      <c r="A730"/>
      <c r="B730" s="140"/>
      <c r="C730" s="290"/>
      <c r="D730" s="290"/>
      <c r="E730" s="266"/>
      <c r="F730" s="266"/>
      <c r="G730" s="266"/>
      <c r="H730" s="291"/>
      <c r="I730" s="291"/>
      <c r="J730" s="291"/>
      <c r="K730" s="291"/>
      <c r="L730" s="291"/>
      <c r="M730" s="292"/>
      <c r="N730"/>
      <c r="O730" s="266"/>
      <c r="P730" s="266"/>
      <c r="Q730" s="266"/>
      <c r="R730" s="291"/>
      <c r="S730" s="291"/>
      <c r="T730" s="266"/>
      <c r="U730"/>
      <c r="V730"/>
      <c r="W730"/>
      <c r="X730"/>
    </row>
    <row r="731" spans="1:24" ht="12.75" customHeight="1">
      <c r="B731" s="147"/>
      <c r="C731" s="295"/>
      <c r="D731" s="295"/>
      <c r="E731" s="267"/>
      <c r="F731" s="267"/>
      <c r="G731" s="267"/>
      <c r="H731" s="293"/>
      <c r="I731" s="293"/>
      <c r="J731" s="293"/>
      <c r="K731" s="293"/>
      <c r="L731" s="293"/>
      <c r="M731" s="294"/>
      <c r="O731" s="267"/>
      <c r="P731" s="267"/>
      <c r="Q731" s="267"/>
      <c r="R731" s="293"/>
      <c r="S731" s="293"/>
      <c r="T731" s="267"/>
    </row>
    <row r="732" spans="1:24" ht="12.75" customHeight="1">
      <c r="B732" s="140"/>
      <c r="C732" s="290"/>
      <c r="D732" s="290"/>
      <c r="E732" s="266"/>
      <c r="F732" s="266"/>
      <c r="G732" s="266"/>
      <c r="H732" s="291"/>
      <c r="I732" s="291"/>
      <c r="J732" s="291"/>
      <c r="K732" s="291"/>
      <c r="L732" s="291"/>
      <c r="M732" s="292"/>
      <c r="O732" s="266"/>
      <c r="P732" s="266"/>
      <c r="Q732" s="266"/>
      <c r="R732" s="291"/>
      <c r="S732" s="291"/>
      <c r="T732" s="266"/>
    </row>
    <row r="733" spans="1:24" ht="12.75" customHeight="1">
      <c r="B733" s="148"/>
      <c r="C733" s="297"/>
      <c r="D733" s="297"/>
      <c r="E733" s="268"/>
      <c r="F733" s="268"/>
      <c r="G733" s="268"/>
      <c r="H733" s="289"/>
      <c r="I733" s="289"/>
      <c r="J733" s="289"/>
      <c r="K733" s="289"/>
      <c r="L733" s="289"/>
      <c r="M733" s="288"/>
      <c r="O733" s="268"/>
      <c r="P733" s="268"/>
      <c r="Q733" s="268"/>
      <c r="R733" s="289"/>
      <c r="S733" s="289"/>
      <c r="T733" s="268"/>
    </row>
    <row r="734" spans="1:24" ht="12.75" customHeight="1">
      <c r="B734" s="148"/>
      <c r="C734" s="297"/>
      <c r="D734" s="297"/>
      <c r="E734" s="268"/>
      <c r="F734" s="268"/>
      <c r="G734" s="268"/>
      <c r="H734" s="289"/>
      <c r="I734" s="289"/>
      <c r="J734" s="289"/>
      <c r="K734" s="289"/>
      <c r="L734" s="289"/>
      <c r="M734" s="288"/>
      <c r="O734" s="268"/>
      <c r="P734" s="268"/>
      <c r="Q734" s="268"/>
      <c r="R734" s="289"/>
      <c r="S734" s="289"/>
      <c r="T734" s="268"/>
    </row>
    <row r="735" spans="1:24" ht="12.75" customHeight="1">
      <c r="B735" s="140"/>
      <c r="C735" s="290"/>
      <c r="D735" s="290"/>
      <c r="E735" s="266"/>
      <c r="F735" s="266"/>
      <c r="G735" s="266"/>
      <c r="H735" s="291"/>
      <c r="I735" s="291"/>
      <c r="J735" s="291"/>
      <c r="K735" s="291"/>
      <c r="L735" s="291"/>
      <c r="M735" s="292"/>
      <c r="O735" s="266"/>
      <c r="P735" s="266"/>
      <c r="Q735" s="266"/>
      <c r="R735" s="291"/>
      <c r="S735" s="291"/>
      <c r="T735" s="266"/>
    </row>
    <row r="736" spans="1:24" ht="12.75" customHeight="1">
      <c r="B736" s="140"/>
      <c r="C736" s="290"/>
      <c r="D736" s="290"/>
      <c r="E736" s="266"/>
      <c r="F736" s="266"/>
      <c r="G736" s="266"/>
      <c r="H736" s="291"/>
      <c r="I736" s="291"/>
      <c r="J736" s="291"/>
      <c r="K736" s="291"/>
      <c r="L736" s="291"/>
      <c r="M736" s="292"/>
      <c r="O736" s="266"/>
      <c r="P736" s="266"/>
      <c r="Q736" s="266"/>
      <c r="R736" s="291"/>
      <c r="S736" s="291"/>
      <c r="T736" s="266"/>
    </row>
    <row r="737" spans="2:20" ht="12.75" customHeight="1">
      <c r="B737" s="140"/>
      <c r="C737" s="290"/>
      <c r="D737" s="290"/>
      <c r="E737" s="266"/>
      <c r="F737" s="266"/>
      <c r="G737" s="266"/>
      <c r="H737" s="291"/>
      <c r="I737" s="291"/>
      <c r="J737" s="291"/>
      <c r="K737" s="291"/>
      <c r="L737" s="291"/>
      <c r="M737" s="292"/>
      <c r="O737" s="266"/>
      <c r="P737" s="266"/>
      <c r="Q737" s="266"/>
      <c r="R737" s="291"/>
      <c r="S737" s="291"/>
      <c r="T737" s="266"/>
    </row>
    <row r="738" spans="2:20" ht="12.75" customHeight="1">
      <c r="B738" s="140"/>
      <c r="C738" s="290"/>
      <c r="D738" s="290"/>
      <c r="E738" s="266"/>
      <c r="F738" s="266"/>
      <c r="G738" s="266"/>
      <c r="H738" s="291"/>
      <c r="I738" s="291"/>
      <c r="J738" s="291"/>
      <c r="K738" s="291"/>
      <c r="L738" s="291"/>
      <c r="M738" s="292"/>
      <c r="O738" s="266"/>
      <c r="P738" s="266"/>
      <c r="Q738" s="266"/>
      <c r="R738" s="291"/>
      <c r="S738" s="291"/>
      <c r="T738" s="266"/>
    </row>
    <row r="739" spans="2:20" ht="12.75" customHeight="1">
      <c r="B739" s="140"/>
      <c r="C739" s="290"/>
      <c r="D739" s="290"/>
      <c r="E739" s="266"/>
      <c r="F739" s="266"/>
      <c r="G739" s="266"/>
      <c r="H739" s="291"/>
      <c r="I739" s="291"/>
      <c r="J739" s="291"/>
      <c r="K739" s="291"/>
      <c r="L739" s="291"/>
      <c r="M739" s="292"/>
      <c r="O739" s="266"/>
      <c r="P739" s="266"/>
      <c r="Q739" s="140"/>
      <c r="R739" s="291"/>
      <c r="S739" s="291"/>
      <c r="T739" s="266"/>
    </row>
    <row r="740" spans="2:20" ht="12.75" customHeight="1">
      <c r="B740" s="140"/>
      <c r="C740" s="296"/>
      <c r="D740" s="296"/>
      <c r="E740" s="266"/>
      <c r="F740" s="266"/>
      <c r="G740" s="266"/>
      <c r="H740" s="291"/>
      <c r="I740" s="291"/>
      <c r="J740" s="291"/>
      <c r="K740" s="291"/>
      <c r="L740" s="291"/>
      <c r="M740" s="292"/>
      <c r="O740" s="266"/>
      <c r="P740" s="266"/>
      <c r="Q740" s="140"/>
      <c r="R740" s="291"/>
      <c r="S740" s="291"/>
      <c r="T740" s="266"/>
    </row>
    <row r="741" spans="2:20" ht="12.75" customHeight="1">
      <c r="B741" s="140"/>
      <c r="C741" s="290"/>
      <c r="D741" s="290"/>
      <c r="E741" s="266"/>
      <c r="F741" s="266"/>
      <c r="G741" s="266"/>
      <c r="H741" s="291"/>
      <c r="I741" s="291"/>
      <c r="J741" s="291"/>
      <c r="K741" s="291"/>
      <c r="L741" s="291"/>
      <c r="M741" s="292"/>
      <c r="O741" s="266"/>
      <c r="P741" s="266"/>
      <c r="Q741" s="266"/>
      <c r="R741" s="291"/>
      <c r="S741" s="291"/>
      <c r="T741" s="266"/>
    </row>
    <row r="742" spans="2:20" ht="12.75" customHeight="1">
      <c r="B742" s="140"/>
      <c r="C742" s="290"/>
      <c r="D742" s="290"/>
      <c r="E742" s="266"/>
      <c r="F742" s="266"/>
      <c r="G742" s="266"/>
      <c r="H742" s="291"/>
      <c r="I742" s="291"/>
      <c r="J742" s="291"/>
      <c r="K742" s="291"/>
      <c r="L742" s="291"/>
      <c r="M742" s="292"/>
      <c r="O742" s="266"/>
      <c r="P742" s="266"/>
      <c r="Q742" s="140"/>
      <c r="R742" s="291"/>
      <c r="S742" s="291"/>
      <c r="T742" s="266"/>
    </row>
    <row r="743" spans="2:20" ht="12.75" customHeight="1">
      <c r="B743" s="140"/>
      <c r="C743" s="290"/>
      <c r="D743" s="290"/>
      <c r="E743" s="266"/>
      <c r="F743" s="266"/>
      <c r="G743" s="266"/>
      <c r="H743" s="291"/>
      <c r="I743" s="291"/>
      <c r="J743" s="291"/>
      <c r="K743" s="291"/>
      <c r="L743" s="291"/>
      <c r="M743" s="292"/>
      <c r="O743" s="266"/>
      <c r="P743" s="266"/>
      <c r="Q743" s="266"/>
      <c r="R743" s="291"/>
      <c r="S743" s="291"/>
      <c r="T743" s="266"/>
    </row>
    <row r="744" spans="2:20" ht="12.75" customHeight="1">
      <c r="B744" s="147"/>
      <c r="C744" s="295"/>
      <c r="D744" s="295"/>
      <c r="E744" s="267"/>
      <c r="F744" s="267"/>
      <c r="G744" s="267"/>
      <c r="H744" s="293"/>
      <c r="I744" s="293"/>
      <c r="J744" s="293"/>
      <c r="K744" s="293"/>
      <c r="L744" s="293"/>
      <c r="M744" s="294"/>
      <c r="O744" s="267"/>
      <c r="P744" s="267"/>
      <c r="Q744" s="267"/>
      <c r="R744" s="293"/>
      <c r="S744" s="293"/>
      <c r="T744" s="267"/>
    </row>
    <row r="745" spans="2:20" ht="12.75" customHeight="1">
      <c r="B745" s="140"/>
      <c r="C745" s="290"/>
      <c r="D745" s="290"/>
      <c r="E745" s="266"/>
      <c r="F745" s="266"/>
      <c r="G745" s="266"/>
      <c r="H745" s="291"/>
      <c r="I745" s="291"/>
      <c r="J745" s="291"/>
      <c r="K745" s="291"/>
      <c r="L745" s="291"/>
      <c r="M745" s="292"/>
      <c r="O745" s="266"/>
      <c r="P745" s="266"/>
      <c r="Q745" s="266"/>
      <c r="R745" s="291"/>
      <c r="S745" s="291"/>
      <c r="T745" s="266"/>
    </row>
    <row r="746" spans="2:20" ht="12.75" customHeight="1">
      <c r="B746" s="140"/>
      <c r="C746" s="290"/>
      <c r="D746" s="290"/>
      <c r="E746" s="266"/>
      <c r="F746" s="266"/>
      <c r="G746" s="266"/>
      <c r="H746" s="291"/>
      <c r="I746" s="291"/>
      <c r="J746" s="291"/>
      <c r="K746" s="291"/>
      <c r="L746" s="291"/>
      <c r="M746" s="292"/>
      <c r="O746" s="266"/>
      <c r="P746" s="266"/>
      <c r="Q746" s="266"/>
      <c r="R746" s="291"/>
      <c r="S746" s="291"/>
      <c r="T746" s="266"/>
    </row>
    <row r="747" spans="2:20" ht="12.75" customHeight="1">
      <c r="B747" s="140"/>
      <c r="C747" s="290"/>
      <c r="D747" s="290"/>
      <c r="E747" s="266"/>
      <c r="F747" s="266"/>
      <c r="G747" s="266"/>
      <c r="H747" s="291"/>
      <c r="I747" s="291"/>
      <c r="J747" s="291"/>
      <c r="K747" s="291"/>
      <c r="L747" s="291"/>
      <c r="M747" s="292"/>
      <c r="O747" s="266"/>
      <c r="P747" s="266"/>
      <c r="Q747" s="266"/>
      <c r="R747" s="291"/>
      <c r="S747" s="291"/>
      <c r="T747" s="266"/>
    </row>
    <row r="748" spans="2:20" ht="12.75" customHeight="1">
      <c r="B748" s="140"/>
      <c r="C748" s="290"/>
      <c r="D748" s="290"/>
      <c r="E748" s="266"/>
      <c r="F748" s="266"/>
      <c r="G748" s="266"/>
      <c r="H748" s="291"/>
      <c r="I748" s="291"/>
      <c r="J748" s="291"/>
      <c r="K748" s="291"/>
      <c r="L748" s="291"/>
      <c r="M748" s="292"/>
      <c r="O748" s="266"/>
      <c r="P748" s="266"/>
      <c r="Q748" s="266"/>
      <c r="R748" s="291"/>
      <c r="S748" s="291"/>
      <c r="T748" s="266"/>
    </row>
    <row r="749" spans="2:20" ht="12.75" customHeight="1">
      <c r="B749" s="140"/>
      <c r="C749" s="290"/>
      <c r="D749" s="290"/>
      <c r="E749" s="266"/>
      <c r="F749" s="266"/>
      <c r="G749" s="266"/>
      <c r="H749" s="291"/>
      <c r="I749" s="291"/>
      <c r="J749" s="291"/>
      <c r="K749" s="291"/>
      <c r="L749" s="291"/>
      <c r="M749" s="292"/>
      <c r="O749" s="266"/>
      <c r="P749" s="266"/>
      <c r="Q749" s="266"/>
      <c r="R749" s="291"/>
      <c r="S749" s="291"/>
      <c r="T749" s="266"/>
    </row>
    <row r="750" spans="2:20" ht="12.75" customHeight="1">
      <c r="B750" s="147"/>
      <c r="C750" s="295"/>
      <c r="D750" s="295"/>
      <c r="E750" s="267"/>
      <c r="F750" s="267"/>
      <c r="G750" s="267"/>
      <c r="H750" s="293"/>
      <c r="I750" s="293"/>
      <c r="J750" s="293"/>
      <c r="K750" s="293"/>
      <c r="L750" s="293"/>
      <c r="M750" s="294"/>
      <c r="O750" s="267"/>
      <c r="P750" s="267"/>
      <c r="Q750" s="267"/>
      <c r="R750" s="293"/>
      <c r="S750" s="293"/>
      <c r="T750" s="267"/>
    </row>
    <row r="751" spans="2:20" ht="12.75" customHeight="1">
      <c r="B751" s="140"/>
      <c r="C751" s="290"/>
      <c r="D751" s="290"/>
      <c r="E751" s="266"/>
      <c r="F751" s="266"/>
      <c r="G751" s="266"/>
      <c r="H751" s="291"/>
      <c r="I751" s="291"/>
      <c r="J751" s="291"/>
      <c r="K751" s="291"/>
      <c r="L751" s="291"/>
      <c r="M751" s="292"/>
      <c r="O751" s="266"/>
      <c r="P751" s="266"/>
      <c r="Q751" s="266"/>
      <c r="R751" s="291"/>
      <c r="S751" s="291"/>
      <c r="T751" s="266"/>
    </row>
    <row r="752" spans="2:20" ht="12.75" customHeight="1">
      <c r="B752" s="140"/>
      <c r="C752" s="290"/>
      <c r="D752" s="290"/>
      <c r="E752" s="266"/>
      <c r="F752" s="266"/>
      <c r="G752" s="266"/>
      <c r="H752" s="291"/>
      <c r="I752" s="291"/>
      <c r="J752" s="291"/>
      <c r="K752" s="291"/>
      <c r="L752" s="291"/>
      <c r="M752" s="292"/>
      <c r="O752" s="266"/>
      <c r="P752" s="266"/>
      <c r="Q752" s="266"/>
      <c r="R752" s="291"/>
      <c r="S752" s="291"/>
      <c r="T752" s="266"/>
    </row>
    <row r="753" spans="2:20" ht="12.75" customHeight="1">
      <c r="B753" s="140"/>
      <c r="C753" s="290"/>
      <c r="D753" s="290"/>
      <c r="E753" s="266"/>
      <c r="F753" s="266"/>
      <c r="G753" s="266"/>
      <c r="H753" s="291"/>
      <c r="I753" s="291"/>
      <c r="J753" s="291"/>
      <c r="K753" s="291"/>
      <c r="L753" s="291"/>
      <c r="M753" s="292"/>
      <c r="O753" s="266"/>
      <c r="P753" s="266"/>
      <c r="Q753" s="266"/>
      <c r="R753" s="291"/>
      <c r="S753" s="291"/>
      <c r="T753" s="266"/>
    </row>
    <row r="754" spans="2:20" ht="12.75" customHeight="1">
      <c r="B754" s="147"/>
      <c r="C754" s="295"/>
      <c r="D754" s="295"/>
      <c r="E754" s="267"/>
      <c r="F754" s="267"/>
      <c r="G754" s="267"/>
      <c r="H754" s="293"/>
      <c r="I754" s="293"/>
      <c r="J754" s="293"/>
      <c r="K754" s="293"/>
      <c r="L754" s="293"/>
      <c r="M754" s="294"/>
      <c r="O754" s="267"/>
      <c r="P754" s="267"/>
      <c r="Q754" s="267"/>
      <c r="R754" s="293"/>
      <c r="S754" s="293"/>
      <c r="T754" s="267"/>
    </row>
    <row r="755" spans="2:20" ht="12.75" customHeight="1">
      <c r="B755" s="147"/>
      <c r="C755" s="295"/>
      <c r="D755" s="295"/>
      <c r="E755" s="267"/>
      <c r="F755" s="267"/>
      <c r="G755" s="267"/>
      <c r="H755" s="293"/>
      <c r="I755" s="293"/>
      <c r="J755" s="293"/>
      <c r="K755" s="293"/>
      <c r="L755" s="293"/>
      <c r="M755" s="294"/>
      <c r="O755" s="267"/>
      <c r="P755" s="267"/>
      <c r="Q755" s="267"/>
      <c r="R755" s="293"/>
      <c r="S755" s="293"/>
      <c r="T755" s="267"/>
    </row>
    <row r="756" spans="2:20" ht="12.75" customHeight="1">
      <c r="B756" s="140"/>
      <c r="C756" s="290"/>
      <c r="D756" s="290"/>
      <c r="E756" s="266"/>
      <c r="F756" s="140"/>
      <c r="G756" s="266"/>
      <c r="H756" s="292"/>
      <c r="I756" s="292"/>
      <c r="J756" s="292"/>
      <c r="K756" s="292"/>
      <c r="L756" s="292"/>
      <c r="M756" s="292"/>
      <c r="O756" s="266"/>
      <c r="P756" s="266"/>
      <c r="Q756" s="266"/>
      <c r="R756" s="291"/>
      <c r="S756" s="291"/>
      <c r="T756" s="140"/>
    </row>
    <row r="757" spans="2:20" ht="12.75" customHeight="1">
      <c r="B757" s="140"/>
      <c r="C757" s="290"/>
      <c r="D757" s="290"/>
      <c r="E757" s="266"/>
      <c r="F757" s="140"/>
      <c r="G757" s="266"/>
      <c r="H757" s="292"/>
      <c r="I757" s="292"/>
      <c r="J757" s="292"/>
      <c r="K757" s="292"/>
      <c r="L757" s="292"/>
      <c r="M757" s="292"/>
      <c r="O757" s="266"/>
      <c r="P757" s="266"/>
      <c r="Q757" s="266"/>
      <c r="R757" s="291"/>
      <c r="S757" s="291"/>
      <c r="T757" s="140"/>
    </row>
    <row r="758" spans="2:20" ht="12.75" customHeight="1">
      <c r="B758" s="140"/>
      <c r="C758" s="290"/>
      <c r="D758" s="290"/>
      <c r="E758" s="266"/>
      <c r="F758" s="266"/>
      <c r="G758" s="266"/>
      <c r="H758" s="291"/>
      <c r="I758" s="291"/>
      <c r="J758" s="291"/>
      <c r="K758" s="291"/>
      <c r="L758" s="291"/>
      <c r="M758" s="292"/>
      <c r="O758" s="266"/>
      <c r="P758" s="266"/>
      <c r="Q758" s="266"/>
      <c r="R758" s="291"/>
      <c r="S758" s="291"/>
      <c r="T758" s="266"/>
    </row>
    <row r="759" spans="2:20" ht="12.75" customHeight="1">
      <c r="B759" s="147"/>
      <c r="C759" s="295"/>
      <c r="D759" s="295"/>
      <c r="E759" s="267"/>
      <c r="F759" s="267"/>
      <c r="G759" s="267"/>
      <c r="H759" s="293"/>
      <c r="I759" s="293"/>
      <c r="J759" s="293"/>
      <c r="K759" s="293"/>
      <c r="L759" s="293"/>
      <c r="M759" s="294"/>
      <c r="O759" s="267"/>
      <c r="P759" s="267"/>
      <c r="Q759" s="267"/>
      <c r="R759" s="293"/>
      <c r="S759" s="293"/>
      <c r="T759" s="267"/>
    </row>
    <row r="760" spans="2:20" ht="12.75" customHeight="1">
      <c r="B760" s="140"/>
      <c r="C760" s="290"/>
      <c r="D760" s="290"/>
      <c r="E760" s="266"/>
      <c r="F760" s="266"/>
      <c r="G760" s="266"/>
      <c r="H760" s="291"/>
      <c r="I760" s="291"/>
      <c r="J760" s="291"/>
      <c r="K760" s="291"/>
      <c r="L760" s="291"/>
      <c r="M760" s="292"/>
      <c r="O760" s="266"/>
      <c r="P760" s="266"/>
      <c r="Q760" s="266"/>
      <c r="R760" s="291"/>
      <c r="S760" s="291"/>
      <c r="T760" s="266"/>
    </row>
    <row r="761" spans="2:20" ht="12.75" customHeight="1">
      <c r="B761" s="140"/>
      <c r="C761" s="290"/>
      <c r="D761" s="290"/>
      <c r="E761" s="268"/>
      <c r="F761" s="268"/>
      <c r="G761" s="268"/>
      <c r="H761" s="289"/>
      <c r="I761" s="289"/>
      <c r="J761" s="289"/>
      <c r="K761" s="289"/>
      <c r="L761" s="289"/>
      <c r="M761" s="288"/>
      <c r="O761" s="268"/>
      <c r="P761" s="268"/>
      <c r="Q761" s="268"/>
      <c r="R761" s="289"/>
      <c r="S761" s="289"/>
      <c r="T761" s="268"/>
    </row>
    <row r="762" spans="2:20" ht="12.75" customHeight="1">
      <c r="B762" s="148"/>
      <c r="C762" s="290"/>
      <c r="D762" s="290"/>
      <c r="E762" s="268"/>
      <c r="F762" s="268"/>
      <c r="G762" s="268"/>
      <c r="H762" s="289"/>
      <c r="I762" s="289"/>
      <c r="J762" s="289"/>
      <c r="K762" s="289"/>
      <c r="L762" s="289"/>
      <c r="M762" s="288"/>
      <c r="O762" s="268"/>
      <c r="P762" s="268"/>
      <c r="Q762" s="268"/>
      <c r="R762" s="289"/>
      <c r="S762" s="289"/>
      <c r="T762" s="268"/>
    </row>
    <row r="763" spans="2:20" ht="12.75" customHeight="1">
      <c r="B763" s="140"/>
      <c r="C763" s="290"/>
      <c r="D763" s="290"/>
      <c r="E763" s="266"/>
      <c r="F763" s="266"/>
      <c r="G763" s="266"/>
      <c r="H763" s="291"/>
      <c r="I763" s="291"/>
      <c r="J763" s="291"/>
      <c r="K763" s="291"/>
      <c r="L763" s="291"/>
      <c r="M763" s="292"/>
      <c r="O763" s="266"/>
      <c r="P763" s="266"/>
      <c r="Q763" s="266"/>
      <c r="R763" s="291"/>
      <c r="S763" s="291"/>
      <c r="T763" s="266"/>
    </row>
    <row r="846" spans="4:4" ht="12.75" customHeight="1">
      <c r="D846" s="89"/>
    </row>
    <row r="847" spans="4:4" ht="12.75" customHeight="1">
      <c r="D847" s="89"/>
    </row>
    <row r="848" spans="4:4" ht="12.75" customHeight="1">
      <c r="D848" s="89"/>
    </row>
    <row r="849" spans="3:12" ht="12.75" customHeight="1">
      <c r="D849" s="89"/>
    </row>
    <row r="850" spans="3:12" ht="12.75" customHeight="1">
      <c r="D850" s="89"/>
    </row>
    <row r="851" spans="3:12" ht="12.75" customHeight="1">
      <c r="D851" s="89"/>
    </row>
    <row r="852" spans="3:12" ht="12.75" customHeight="1">
      <c r="D852" s="89"/>
    </row>
    <row r="853" spans="3:12" ht="12.75" customHeight="1">
      <c r="C853" s="92"/>
      <c r="D853" s="91"/>
      <c r="E853" s="92"/>
      <c r="F853" s="92"/>
      <c r="G853" s="92"/>
      <c r="H853" s="92"/>
      <c r="I853" s="92"/>
      <c r="J853" s="92"/>
      <c r="K853" s="92"/>
      <c r="L853" s="92"/>
    </row>
  </sheetData>
  <autoFilter ref="A6:X702" xr:uid="{C572D3BB-48C6-4713-AB30-1A9281419170}">
    <filterColumn colId="0" showButton="0"/>
    <filterColumn colId="1" showButton="0"/>
    <filterColumn colId="2" showButton="0"/>
    <filterColumn colId="3" showButton="0"/>
    <filterColumn colId="4" showButton="0"/>
    <filterColumn colId="5" showButton="0"/>
    <filterColumn colId="6"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autoFilter>
  <customSheetViews>
    <customSheetView guid="{4B2152C0-165D-47F1-8933-57B3261F1379}" scale="110" showPageBreaks="1" fitToPage="1" printArea="1" filter="1" showAutoFilter="1" hiddenColumns="1" view="pageBreakPreview">
      <selection activeCell="I51" sqref="I51:L51"/>
      <rowBreaks count="1" manualBreakCount="1">
        <brk id="43" max="89" man="1"/>
      </rowBreaks>
      <pageMargins left="0.196850393700787" right="0.196850393700787" top="0.196850393700787" bottom="0.196850393700787" header="7.8740157480315001E-2" footer="7.8740157480315001E-2"/>
      <pageSetup paperSize="8" scale="78" fitToHeight="0" orientation="landscape" r:id="rId1"/>
      <headerFooter alignWithMargins="0"/>
      <autoFilter ref="A6:DJ59" xr:uid="{DBFCFAEB-ADA6-4336-916E-C95F84FDEACD}">
        <filterColumn colId="0" showButton="0"/>
        <filterColumn colId="2" showButton="0">
          <filters>
            <filter val="WCES26-007-PR-PID-002"/>
          </filters>
        </filterColumn>
        <filterColumn colId="3" showButton="0"/>
        <filterColumn colId="4" showButton="0"/>
        <filterColumn colId="5" showButton="0"/>
        <filterColumn colId="6" showButton="0"/>
        <filterColumn colId="8" showButton="0"/>
        <filterColumn colId="9" showButton="0"/>
        <filterColumn colId="10" showButton="0"/>
        <filterColumn colId="12" showButton="0"/>
        <filterColumn colId="13" showButton="0"/>
        <filterColumn colId="14" showButton="0"/>
        <filterColumn colId="17" showButton="0"/>
        <filterColumn colId="18" showButton="0"/>
        <filterColumn colId="19" showButton="0"/>
        <filterColumn colId="21" showButton="0"/>
        <filterColumn colId="22" showButton="0"/>
        <filterColumn colId="25" showButton="0"/>
        <filterColumn colId="26"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4" showButton="0"/>
        <filterColumn colId="55" showButton="0"/>
        <filterColumn colId="57" showButton="0"/>
        <filterColumn colId="59" showButton="0"/>
        <filterColumn colId="61" showButton="0"/>
        <filterColumn colId="63" showButton="0"/>
        <filterColumn colId="65" showButton="0"/>
        <filterColumn colId="66" showButton="0"/>
        <filterColumn colId="67" showButton="0"/>
        <filterColumn colId="69" showButton="0"/>
        <filterColumn colId="70" showButton="0"/>
        <filterColumn colId="71" showButton="0"/>
        <filterColumn colId="73" showButton="0"/>
        <filterColumn colId="75" showButton="0"/>
        <filterColumn colId="77" showButton="0"/>
        <filterColumn colId="78"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autoFilter>
    </customSheetView>
    <customSheetView guid="{9313348B-AF43-459E-B141-13E53440B183}" showPageBreaks="1" fitToPage="1" printArea="1" filter="1" showAutoFilter="1" hiddenColumns="1" view="pageBreakPreview">
      <selection activeCell="AD16" sqref="AD16"/>
      <rowBreaks count="1" manualBreakCount="1">
        <brk id="43" max="89" man="1"/>
      </rowBreaks>
      <pageMargins left="0.196850393700787" right="0.196850393700787" top="0.196850393700787" bottom="0.196850393700787" header="7.8740157480315001E-2" footer="7.8740157480315001E-2"/>
      <pageSetup paperSize="8" scale="78" fitToHeight="0" orientation="landscape" r:id="rId2"/>
      <headerFooter alignWithMargins="0"/>
      <autoFilter ref="A6:DJ59" xr:uid="{E11D9630-C218-4DD1-9E37-7EA3E9133479}">
        <filterColumn colId="0" showButton="0"/>
        <filterColumn colId="2" showButton="0">
          <filters>
            <filter val="WCES26-007-PR-PID-001"/>
          </filters>
        </filterColumn>
        <filterColumn colId="3" showButton="0"/>
        <filterColumn colId="4" showButton="0"/>
        <filterColumn colId="5" showButton="0"/>
        <filterColumn colId="6" showButton="0"/>
        <filterColumn colId="8" showButton="0"/>
        <filterColumn colId="9" showButton="0"/>
        <filterColumn colId="10" showButton="0"/>
        <filterColumn colId="12" showButton="0"/>
        <filterColumn colId="13" showButton="0"/>
        <filterColumn colId="14" showButton="0"/>
        <filterColumn colId="17" showButton="0"/>
        <filterColumn colId="18" showButton="0"/>
        <filterColumn colId="19" showButton="0"/>
        <filterColumn colId="21" showButton="0"/>
        <filterColumn colId="22" showButton="0"/>
        <filterColumn colId="25" showButton="0"/>
        <filterColumn colId="26"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4" showButton="0"/>
        <filterColumn colId="55" showButton="0"/>
        <filterColumn colId="57" showButton="0"/>
        <filterColumn colId="59" showButton="0"/>
        <filterColumn colId="61" showButton="0"/>
        <filterColumn colId="63" showButton="0"/>
        <filterColumn colId="65" showButton="0"/>
        <filterColumn colId="66" showButton="0"/>
        <filterColumn colId="67" showButton="0"/>
        <filterColumn colId="69" showButton="0"/>
        <filterColumn colId="70" showButton="0"/>
        <filterColumn colId="71" showButton="0"/>
        <filterColumn colId="73" showButton="0"/>
        <filterColumn colId="75" showButton="0"/>
        <filterColumn colId="77" showButton="0"/>
        <filterColumn colId="78"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autoFilter>
    </customSheetView>
  </customSheetViews>
  <mergeCells count="202">
    <mergeCell ref="A1:X2"/>
    <mergeCell ref="A3:A5"/>
    <mergeCell ref="B3:B5"/>
    <mergeCell ref="C3:C5"/>
    <mergeCell ref="D3:D5"/>
    <mergeCell ref="E3:E5"/>
    <mergeCell ref="F3:F5"/>
    <mergeCell ref="G3:G5"/>
    <mergeCell ref="H3:H5"/>
    <mergeCell ref="Q3:R4"/>
    <mergeCell ref="S3:S5"/>
    <mergeCell ref="T3:T5"/>
    <mergeCell ref="U3:V4"/>
    <mergeCell ref="W3:W5"/>
    <mergeCell ref="X3:X5"/>
    <mergeCell ref="I3:I5"/>
    <mergeCell ref="J3:J5"/>
    <mergeCell ref="K3:K5"/>
    <mergeCell ref="L3:M4"/>
    <mergeCell ref="N3:N5"/>
    <mergeCell ref="O3:P4"/>
    <mergeCell ref="L5:L6"/>
    <mergeCell ref="M5:M6"/>
    <mergeCell ref="A701:X701"/>
    <mergeCell ref="A702:X702"/>
    <mergeCell ref="A703:X703"/>
    <mergeCell ref="A704:X704"/>
    <mergeCell ref="A705:A707"/>
    <mergeCell ref="B705:X705"/>
    <mergeCell ref="B706:X706"/>
    <mergeCell ref="B707:X707"/>
    <mergeCell ref="G710:L710"/>
    <mergeCell ref="N710:P710"/>
    <mergeCell ref="S708:T709"/>
    <mergeCell ref="N709:P709"/>
    <mergeCell ref="F708:G709"/>
    <mergeCell ref="N708:P708"/>
    <mergeCell ref="N712:P712"/>
    <mergeCell ref="N711:P711"/>
    <mergeCell ref="N715:P715"/>
    <mergeCell ref="N714:P714"/>
    <mergeCell ref="N713:P713"/>
    <mergeCell ref="B724:B725"/>
    <mergeCell ref="H724:M724"/>
    <mergeCell ref="N724:Q724"/>
    <mergeCell ref="S724"/>
    <mergeCell ref="T722:X723"/>
    <mergeCell ref="N723:Q723"/>
    <mergeCell ref="S723"/>
    <mergeCell ref="G722:L723"/>
    <mergeCell ref="N722:Q722"/>
    <mergeCell ref="S722"/>
    <mergeCell ref="N726:Q726"/>
    <mergeCell ref="S726"/>
    <mergeCell ref="T724:X726"/>
    <mergeCell ref="G725:M729"/>
    <mergeCell ref="N725:Q725"/>
    <mergeCell ref="S725"/>
    <mergeCell ref="N729:Q729"/>
    <mergeCell ref="S729"/>
    <mergeCell ref="C730:D730"/>
    <mergeCell ref="N728:Q728"/>
    <mergeCell ref="S728"/>
    <mergeCell ref="T728:X729"/>
    <mergeCell ref="N727:Q727"/>
    <mergeCell ref="S727"/>
    <mergeCell ref="T727:X727"/>
    <mergeCell ref="C731:D731"/>
    <mergeCell ref="H731:L731"/>
    <mergeCell ref="M731"/>
    <mergeCell ref="R730:S730"/>
    <mergeCell ref="H730:L730"/>
    <mergeCell ref="M730"/>
    <mergeCell ref="R732:S732"/>
    <mergeCell ref="C733:D733"/>
    <mergeCell ref="M732"/>
    <mergeCell ref="R731:S731"/>
    <mergeCell ref="C732:D732"/>
    <mergeCell ref="H732:L732"/>
    <mergeCell ref="C734:D734"/>
    <mergeCell ref="H734:L734"/>
    <mergeCell ref="M734"/>
    <mergeCell ref="R733:S733"/>
    <mergeCell ref="H733:L733"/>
    <mergeCell ref="M733"/>
    <mergeCell ref="R735:S735"/>
    <mergeCell ref="C736:D736"/>
    <mergeCell ref="M735"/>
    <mergeCell ref="R734:S734"/>
    <mergeCell ref="C735:D735"/>
    <mergeCell ref="H735:L735"/>
    <mergeCell ref="C737:D737"/>
    <mergeCell ref="H737:L737"/>
    <mergeCell ref="M737"/>
    <mergeCell ref="R736:S736"/>
    <mergeCell ref="H736:L736"/>
    <mergeCell ref="M736"/>
    <mergeCell ref="R738:S738"/>
    <mergeCell ref="C739:D739"/>
    <mergeCell ref="M738"/>
    <mergeCell ref="R737:S737"/>
    <mergeCell ref="C738:D738"/>
    <mergeCell ref="H738:L738"/>
    <mergeCell ref="C740:D740"/>
    <mergeCell ref="H740:L740"/>
    <mergeCell ref="M740"/>
    <mergeCell ref="R739:S739"/>
    <mergeCell ref="H739:L739"/>
    <mergeCell ref="M739"/>
    <mergeCell ref="R741:S741"/>
    <mergeCell ref="C742:D742"/>
    <mergeCell ref="M741"/>
    <mergeCell ref="R740:S740"/>
    <mergeCell ref="C741:D741"/>
    <mergeCell ref="H741:L741"/>
    <mergeCell ref="C743:D743"/>
    <mergeCell ref="H743:L743"/>
    <mergeCell ref="M743"/>
    <mergeCell ref="R742:S742"/>
    <mergeCell ref="H742:L742"/>
    <mergeCell ref="M742"/>
    <mergeCell ref="R744:S744"/>
    <mergeCell ref="C745:D745"/>
    <mergeCell ref="M744"/>
    <mergeCell ref="R743:S743"/>
    <mergeCell ref="C744:D744"/>
    <mergeCell ref="H744:L744"/>
    <mergeCell ref="C746:D746"/>
    <mergeCell ref="H746:L746"/>
    <mergeCell ref="M746"/>
    <mergeCell ref="R745:S745"/>
    <mergeCell ref="H745:L745"/>
    <mergeCell ref="M745"/>
    <mergeCell ref="R747:S747"/>
    <mergeCell ref="C748:D748"/>
    <mergeCell ref="M747"/>
    <mergeCell ref="R746:S746"/>
    <mergeCell ref="C747:D747"/>
    <mergeCell ref="H747:L747"/>
    <mergeCell ref="C749:D749"/>
    <mergeCell ref="H749:L749"/>
    <mergeCell ref="M749"/>
    <mergeCell ref="R748:S748"/>
    <mergeCell ref="H748:L748"/>
    <mergeCell ref="M748"/>
    <mergeCell ref="R750:S750"/>
    <mergeCell ref="C751:D751"/>
    <mergeCell ref="M750"/>
    <mergeCell ref="R749:S749"/>
    <mergeCell ref="C750:D750"/>
    <mergeCell ref="H750:L750"/>
    <mergeCell ref="C752:D752"/>
    <mergeCell ref="H752:L752"/>
    <mergeCell ref="M752"/>
    <mergeCell ref="R751:S751"/>
    <mergeCell ref="H751:L751"/>
    <mergeCell ref="M751"/>
    <mergeCell ref="R753:S753"/>
    <mergeCell ref="C754:D754"/>
    <mergeCell ref="M753"/>
    <mergeCell ref="R752:S752"/>
    <mergeCell ref="C753:D753"/>
    <mergeCell ref="H753:L753"/>
    <mergeCell ref="C755:D755"/>
    <mergeCell ref="H755:L755"/>
    <mergeCell ref="M755"/>
    <mergeCell ref="R754:S754"/>
    <mergeCell ref="H754:L754"/>
    <mergeCell ref="M754"/>
    <mergeCell ref="R756:S756"/>
    <mergeCell ref="C757:D757"/>
    <mergeCell ref="M756"/>
    <mergeCell ref="R755:S755"/>
    <mergeCell ref="C756:D756"/>
    <mergeCell ref="H756:L756"/>
    <mergeCell ref="C758:D758"/>
    <mergeCell ref="H758:L758"/>
    <mergeCell ref="M758"/>
    <mergeCell ref="R757:S757"/>
    <mergeCell ref="H757:L757"/>
    <mergeCell ref="M757"/>
    <mergeCell ref="R759:S759"/>
    <mergeCell ref="C760:D760"/>
    <mergeCell ref="M759"/>
    <mergeCell ref="R758:S758"/>
    <mergeCell ref="C759:D759"/>
    <mergeCell ref="H759:L759"/>
    <mergeCell ref="C761:D761"/>
    <mergeCell ref="H761:L761"/>
    <mergeCell ref="M761"/>
    <mergeCell ref="R760:S760"/>
    <mergeCell ref="H760:L760"/>
    <mergeCell ref="M760"/>
    <mergeCell ref="M762"/>
    <mergeCell ref="R761:S761"/>
    <mergeCell ref="C762:D762"/>
    <mergeCell ref="H762:L762"/>
    <mergeCell ref="R763:S763"/>
    <mergeCell ref="H763:L763"/>
    <mergeCell ref="M763"/>
    <mergeCell ref="R762:S762"/>
    <mergeCell ref="C763:D763"/>
  </mergeCells>
  <phoneticPr fontId="3" type="noConversion"/>
  <conditionalFormatting sqref="C7:C25 C30:C35 C37 C40 C43:C46">
    <cfRule type="cellIs" dxfId="3" priority="2" operator="equal">
      <formula>"1$Q$6:$T$11"</formula>
    </cfRule>
    <cfRule type="cellIs" dxfId="2" priority="3" operator="equal">
      <formula>15</formula>
    </cfRule>
  </conditionalFormatting>
  <conditionalFormatting sqref="K1:K1048576">
    <cfRule type="duplicateValues" dxfId="1" priority="24"/>
  </conditionalFormatting>
  <conditionalFormatting sqref="K7:K700">
    <cfRule type="duplicateValues" dxfId="0" priority="25"/>
  </conditionalFormatting>
  <pageMargins left="0.196850393700787" right="0.196850393700787" top="0.196850393700787" bottom="0.196850393700787" header="7.8740157480315001E-2" footer="7.8740157480315001E-2"/>
  <pageSetup paperSize="8" scale="76" fitToHeight="0" orientation="landscape" r:id="rId3"/>
  <headerFooter alignWithMargins="0"/>
  <rowBreaks count="1" manualBreakCount="1">
    <brk id="43" max="90" man="1"/>
  </rowBreaks>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1F45-92DF-4D33-B594-4B3F27D4F8A1}">
  <dimension ref="A1"/>
  <sheetViews>
    <sheetView workbookViewId="0"/>
  </sheetViews>
  <sheetFormatPr defaultRowHeight="14.4"/>
  <sheetData/>
  <customSheetViews>
    <customSheetView guid="{8E8F94B8-32E0-4E0F-AFA7-579F1B47CB3E}" state="hidden">
      <pageMargins left="0.7" right="0.7" top="0.75" bottom="0.75" header="0.3" footer="0.3"/>
    </customSheetView>
    <customSheetView guid="{4B2152C0-165D-47F1-8933-57B3261F1379}" state="hidden">
      <pageMargins left="0.7" right="0.7" top="0.75" bottom="0.75" header="0.3" footer="0.3"/>
    </customSheetView>
    <customSheetView guid="{9313348B-AF43-459E-B141-13E53440B183}" state="hidden">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D38F-F2E6-4078-A8F1-A77DDDF1C8AE}">
  <dimension ref="A1"/>
  <sheetViews>
    <sheetView workbookViewId="0"/>
  </sheetViews>
  <sheetFormatPr defaultRowHeight="14.4"/>
  <sheetData/>
  <customSheetViews>
    <customSheetView guid="{8E8F94B8-32E0-4E0F-AFA7-579F1B47CB3E}" state="hidden">
      <pageMargins left="0.7" right="0.7" top="0.75" bottom="0.75" header="0.3" footer="0.3"/>
    </customSheetView>
    <customSheetView guid="{4B2152C0-165D-47F1-8933-57B3261F1379}" state="hidden">
      <pageMargins left="0.7" right="0.7" top="0.75" bottom="0.75" header="0.3" footer="0.3"/>
    </customSheetView>
    <customSheetView guid="{9313348B-AF43-459E-B141-13E53440B183}" state="hidden">
      <pageMargins left="0.7" right="0.7" top="0.75" bottom="0.75" header="0.3" footer="0.3"/>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Team Document" ma:contentTypeID="0x0101007BD61AFCC8A643B8924AB3F7EE1826010300E5690BE318E1114DAFFBC3E8F67AA818" ma:contentTypeVersion="18" ma:contentTypeDescription="Base content type for business function documents" ma:contentTypeScope="" ma:versionID="863bdea9026c30621dc36f2ff74f808c">
  <xsd:schema xmlns:xsd="http://www.w3.org/2001/XMLSchema" xmlns:xs="http://www.w3.org/2001/XMLSchema" xmlns:p="http://schemas.microsoft.com/office/2006/metadata/properties" xmlns:ns1="http://schemas.microsoft.com/sharepoint/v3" xmlns:ns2="980b2c76-4eb4-4926-991a-bb246786b55e" targetNamespace="http://schemas.microsoft.com/office/2006/metadata/properties" ma:root="true" ma:fieldsID="2539587b47600abc420179a67640f620" ns1:_="" ns2:_="">
    <xsd:import namespace="http://schemas.microsoft.com/sharepoint/v3"/>
    <xsd:import namespace="980b2c76-4eb4-4926-991a-bb246786b55e"/>
    <xsd:element name="properties">
      <xsd:complexType>
        <xsd:sequence>
          <xsd:element name="documentManagement">
            <xsd:complexType>
              <xsd:all>
                <xsd:element ref="ns2:_dlc_DocId" minOccurs="0"/>
                <xsd:element ref="ns2:_dlc_DocIdUrl" minOccurs="0"/>
                <xsd:element ref="ns2:_dlc_DocIdPersistId" minOccurs="0"/>
                <xsd:element ref="ns2:TaxCatchAll" minOccurs="0"/>
                <xsd:element ref="ns2:TaxCatchAllLabel" minOccurs="0"/>
                <xsd:element ref="ns2:TaxKeywordTaxHTField" minOccurs="0"/>
                <xsd:element ref="ns1:AverageRating" minOccurs="0"/>
                <xsd:element ref="ns1:RatingCount" minOccurs="0"/>
                <xsd:element ref="ns1:RatedBy" minOccurs="0"/>
                <xsd:element ref="ns1:Ratings" minOccurs="0"/>
                <xsd:element ref="ns1:LikesCount" minOccurs="0"/>
                <xsd:element ref="ns1:LikedBy" minOccurs="0"/>
                <xsd:element ref="ns2:MMSour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15" nillable="true" ma:displayName="Rating (0-5)" ma:decimals="2" ma:description="Average value of all the ratings that have been submitted" ma:internalName="AverageRating" ma:readOnly="true">
      <xsd:simpleType>
        <xsd:restriction base="dms:Number"/>
      </xsd:simpleType>
    </xsd:element>
    <xsd:element name="RatingCount" ma:index="16" nillable="true" ma:displayName="Number of Ratings" ma:decimals="0" ma:description="Number of ratings submitted" ma:internalName="RatingCount" ma:readOnly="true">
      <xsd:simpleType>
        <xsd:restriction base="dms:Number"/>
      </xsd:simpleType>
    </xsd:element>
    <xsd:element name="RatedBy" ma:index="17"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8" nillable="true" ma:displayName="User ratings" ma:description="User ratings for the item" ma:hidden="true" ma:internalName="Ratings">
      <xsd:simpleType>
        <xsd:restriction base="dms:Note"/>
      </xsd:simpleType>
    </xsd:element>
    <xsd:element name="LikesCount" ma:index="19" nillable="true" ma:displayName="Number of Likes" ma:internalName="LikesCount">
      <xsd:simpleType>
        <xsd:restriction base="dms:Unknown"/>
      </xsd:simpleType>
    </xsd:element>
    <xsd:element name="LikedBy" ma:index="20"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0b2c76-4eb4-4926-991a-bb246786b55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hidden="true" ma:list="{b6ae4dc4-bbd5-42e8-9f41-79577b3edb81}" ma:internalName="TaxCatchAll" ma:showField="CatchAllData" ma:web="099f9451-49ab-4d21-90a5-637533f22a6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b6ae4dc4-bbd5-42e8-9f41-79577b3edb81}" ma:internalName="TaxCatchAllLabel" ma:readOnly="true" ma:showField="CatchAllDataLabel" ma:web="099f9451-49ab-4d21-90a5-637533f22a65">
      <xsd:complexType>
        <xsd:complexContent>
          <xsd:extension base="dms:MultiChoiceLookup">
            <xsd:sequence>
              <xsd:element name="Value" type="dms:Lookup" maxOccurs="unbounded" minOccurs="0" nillable="true"/>
            </xsd:sequence>
          </xsd:extension>
        </xsd:complexContent>
      </xsd:complexType>
    </xsd:element>
    <xsd:element name="TaxKeywordTaxHTField" ma:index="13" nillable="true" ma:taxonomy="true" ma:internalName="TaxKeywordTaxHTField" ma:taxonomyFieldName="TaxKeyword" ma:displayName="Enterprise Keywords" ma:fieldId="{23f27201-bee3-471e-b2e7-b64fd8b7ca38}" ma:taxonomyMulti="true" ma:sspId="3bee4c5c-8f43-4f7f-9637-07f983ecca3d" ma:termSetId="00000000-0000-0000-0000-000000000000" ma:anchorId="00000000-0000-0000-0000-000000000000" ma:open="true" ma:isKeyword="true">
      <xsd:complexType>
        <xsd:sequence>
          <xsd:element ref="pc:Terms" minOccurs="0" maxOccurs="1"/>
        </xsd:sequence>
      </xsd:complexType>
    </xsd:element>
    <xsd:element name="MMSourceID" ma:index="21" nillable="true" ma:displayName="MM Source ID" ma:description="Used for source searches" ma:internalName="MMSourceID"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980b2c76-4eb4-4926-991a-bb246786b55e">
      <Terms xmlns="http://schemas.microsoft.com/office/infopath/2007/PartnerControls"/>
    </TaxKeywordTaxHTField>
    <LikesCount xmlns="http://schemas.microsoft.com/sharepoint/v3" xsi:nil="true"/>
    <MMSourceID xmlns="980b2c76-4eb4-4926-991a-bb246786b55e" xsi:nil="true"/>
    <Ratings xmlns="http://schemas.microsoft.com/sharepoint/v3" xsi:nil="true"/>
    <LikedBy xmlns="http://schemas.microsoft.com/sharepoint/v3">
      <UserInfo>
        <DisplayName/>
        <AccountId xsi:nil="true"/>
        <AccountType/>
      </UserInfo>
    </LikedBy>
    <TaxCatchAll xmlns="980b2c76-4eb4-4926-991a-bb246786b55e"/>
    <RatedBy xmlns="http://schemas.microsoft.com/sharepoint/v3">
      <UserInfo>
        <DisplayName/>
        <AccountId xsi:nil="true"/>
        <AccountType/>
      </UserInfo>
    </RatedBy>
    <_dlc_DocId xmlns="980b2c76-4eb4-4926-991a-bb246786b55e">bf-01703-2025949333-53024</_dlc_DocId>
    <_dlc_DocIdUrl xmlns="980b2c76-4eb4-4926-991a-bb246786b55e">
      <Url>https://mottmac.sharepoint.com/teams/bf-01703/_layouts/15/DocIdRedir.aspx?ID=bf-01703-2025949333-53024</Url>
      <Description>bf-01703-2025949333-53024</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3bee4c5c-8f43-4f7f-9637-07f983ecca3d" ContentTypeId="0x0101007BD61AFCC8A643B8924AB3F7EE18260103" PreviousValue="false"/>
</file>

<file path=customXml/itemProps1.xml><?xml version="1.0" encoding="utf-8"?>
<ds:datastoreItem xmlns:ds="http://schemas.openxmlformats.org/officeDocument/2006/customXml" ds:itemID="{66F44C83-AF22-4FAE-AD35-7A50635EEA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80b2c76-4eb4-4926-991a-bb246786b5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DC7D99-8AC3-43D2-9C1C-23BAABBF2540}">
  <ds:schemaRefs>
    <ds:schemaRef ds:uri="980b2c76-4eb4-4926-991a-bb246786b55e"/>
    <ds:schemaRef ds:uri="http://schemas.microsoft.com/office/2006/documentManagement/types"/>
    <ds:schemaRef ds:uri="http://schemas.microsoft.com/office/2006/metadata/properties"/>
    <ds:schemaRef ds:uri="http://purl.org/dc/elements/1.1/"/>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http://schemas.microsoft.com/sharepoint/v3"/>
  </ds:schemaRefs>
</ds:datastoreItem>
</file>

<file path=customXml/itemProps3.xml><?xml version="1.0" encoding="utf-8"?>
<ds:datastoreItem xmlns:ds="http://schemas.openxmlformats.org/officeDocument/2006/customXml" ds:itemID="{ED292AA3-028E-4A5B-AE28-DBDCAECF956C}">
  <ds:schemaRefs>
    <ds:schemaRef ds:uri="http://schemas.microsoft.com/sharepoint/v3/contenttype/forms"/>
  </ds:schemaRefs>
</ds:datastoreItem>
</file>

<file path=customXml/itemProps4.xml><?xml version="1.0" encoding="utf-8"?>
<ds:datastoreItem xmlns:ds="http://schemas.openxmlformats.org/officeDocument/2006/customXml" ds:itemID="{AE3D1D36-3A34-4848-97D8-B97CA81DD46A}">
  <ds:schemaRefs>
    <ds:schemaRef ds:uri="http://schemas.microsoft.com/sharepoint/events"/>
  </ds:schemaRefs>
</ds:datastoreItem>
</file>

<file path=customXml/itemProps5.xml><?xml version="1.0" encoding="utf-8"?>
<ds:datastoreItem xmlns:ds="http://schemas.openxmlformats.org/officeDocument/2006/customXml" ds:itemID="{4E7931EB-945C-4D05-BC24-C189F454311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Cover sheet</vt:lpstr>
      <vt:lpstr>Front page</vt:lpstr>
      <vt:lpstr>NF-2200-PID-01</vt:lpstr>
      <vt:lpstr>page 1</vt:lpstr>
      <vt:lpstr>PID-0101</vt:lpstr>
      <vt:lpstr>PID-0101 (2)</vt:lpstr>
      <vt:lpstr>1003</vt:lpstr>
      <vt:lpstr>Sheet4</vt:lpstr>
      <vt:lpstr>'Cover sheet'!Print_Area</vt:lpstr>
      <vt:lpstr>'Front page'!Print_Area</vt:lpstr>
      <vt:lpstr>'NF-2200-PID-01'!Print_Area</vt:lpstr>
      <vt:lpstr>'page 1'!Print_Area</vt:lpstr>
      <vt:lpstr>'PID-0101'!Print_Area</vt:lpstr>
      <vt:lpstr>'PID-0101 (2)'!Print_Area</vt:lpstr>
      <vt:lpstr>'PID-0101'!Print_Titles</vt:lpstr>
      <vt:lpstr>'PID-0101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Goel, Rahul R</dc:creator>
  <cp:keywords/>
  <dc:description/>
  <cp:lastModifiedBy>Process Designer</cp:lastModifiedBy>
  <cp:revision/>
  <cp:lastPrinted>2026-08-26T13:10:03Z</cp:lastPrinted>
  <dcterms:created xsi:type="dcterms:W3CDTF">2013-09-17T14:12:18Z</dcterms:created>
  <dcterms:modified xsi:type="dcterms:W3CDTF">2026-10-01T11:27:06Z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0x0101007BD61AFCC8A643B8924AB3F7EE1826010300E5690BE318E1114DAFFBC3E8F67AA818</vt:lpwstr>
  </property>
  <property fmtid="{D5CDD505-2E9C-101B-9397-08002B2CF9AE}" pid="3" name="_dlc_DocIdItemGuid">
    <vt:lpwstr>0869e93a-7946-4de6-b006-f1dae3b07356</vt:lpwstr>
  </property>
  <property fmtid="{D5CDD505-2E9C-101B-9397-08002B2CF9AE}" pid="4" name="TaxKeyword">
    <vt:lpwstr/>
  </property>
  <property fmtid="{D5CDD505-2E9C-101B-9397-08002B2CF9AE}" pid="5" name="SharedWithUsers">
    <vt:lpwstr>24;#Goel, Rahul R</vt:lpwstr>
  </property>
</Properties>
</file>